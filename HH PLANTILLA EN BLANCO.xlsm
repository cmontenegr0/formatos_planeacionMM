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56f8f56efe634e2d"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updateLinks="never" codeName="ThisWorkbook"/>
  <mc:AlternateContent xmlns:mc="http://schemas.openxmlformats.org/markup-compatibility/2006">
    <mc:Choice Requires="x15">
      <x15ac:absPath xmlns:x15ac="http://schemas.microsoft.com/office/spreadsheetml/2010/11/ac" url="https://ecopetrol-my.sharepoint.com/personal/cristian_montenegro_ecopetrol_com_co/Documents/Laboral/EQUIPO PLANEACION/FORMATOS PARA PLANEACION/"/>
    </mc:Choice>
  </mc:AlternateContent>
  <xr:revisionPtr revIDLastSave="2340" documentId="14_{583F901E-6518-4FE1-B5B6-C6FB2C282051}" xr6:coauthVersionLast="47" xr6:coauthVersionMax="47" xr10:uidLastSave="{8F110E7A-B378-4FFF-B365-166E86835344}"/>
  <bookViews>
    <workbookView xWindow="-108" yWindow="-108" windowWidth="23256" windowHeight="12576" xr2:uid="{00000000-000D-0000-FFFF-FFFF00000000}"/>
  </bookViews>
  <sheets>
    <sheet name="Plantilla" sheetId="2" r:id="rId1"/>
    <sheet name="Diag_Gantt" sheetId="7" state="hidden" r:id="rId2"/>
    <sheet name="Versión" sheetId="6" state="hidden" r:id="rId3"/>
    <sheet name="Materiales" sheetId="3" state="hidden" r:id="rId4"/>
    <sheet name="Hoja1" sheetId="1" r:id="rId5"/>
    <sheet name="tablas" sheetId="5" state="hidden" r:id="rId6"/>
  </sheets>
  <functionGroups builtInGroupCount="19"/>
  <externalReferences>
    <externalReference r:id="rId7"/>
  </externalReferences>
  <definedNames>
    <definedName name="_xlnm._FilterDatabase" localSheetId="3" hidden="1">Materiales!$A$6:$L$6</definedName>
    <definedName name="_xlnm._FilterDatabase" localSheetId="0" hidden="1">Plantilla!$A$7:$AG$13</definedName>
    <definedName name="aislamiento">#REF!</definedName>
    <definedName name="_xlnm.Print_Area" localSheetId="0">Plantilla!$A$1:$AG$23</definedName>
    <definedName name="Blind_Thickness">[1]Validation!$O$2:$O$52</definedName>
    <definedName name="diam_ais" localSheetId="5">#REF!</definedName>
    <definedName name="diam_ais">#REF!</definedName>
    <definedName name="diam_pi" localSheetId="5">#REF!</definedName>
    <definedName name="diam_pi">#REF!</definedName>
    <definedName name="diametro" localSheetId="5">#REF!</definedName>
    <definedName name="diametro">#REF!</definedName>
    <definedName name="ele_pi">#REF!</definedName>
    <definedName name="elem_pint">#REF!</definedName>
    <definedName name="elemento">#REF!</definedName>
    <definedName name="esp_perl">#REF!</definedName>
    <definedName name="esp_pyro">#REF!</definedName>
    <definedName name="espesor">#REF!</definedName>
    <definedName name="Flange_Rating">[1]Validation!$M$2:$M$11</definedName>
    <definedName name="grado_limp" localSheetId="5">#REF!</definedName>
    <definedName name="grado_limp">#REF!</definedName>
    <definedName name="Hydro">[1]Validation!$H$2:$H$25</definedName>
    <definedName name="inspe" localSheetId="5">#REF!</definedName>
    <definedName name="inspe">#REF!</definedName>
    <definedName name="NDE">[1]Validation!$G$2:$G$24</definedName>
    <definedName name="pintu" localSheetId="5">#REF!</definedName>
    <definedName name="pintu">#REF!</definedName>
    <definedName name="Spec">[1]Validation!$I$2:$I$192</definedName>
    <definedName name="tarea" localSheetId="5">#REF!</definedName>
    <definedName name="tarea">#REF!</definedName>
    <definedName name="_xlnm.Print_Titles" localSheetId="3">Materiales!$5:$6</definedName>
    <definedName name="Weld">[1]Validation!$J$2:$J$18</definedName>
    <definedName name="Weld_Size">[1]Validation!$L$2:$L$35</definedName>
    <definedName name="Weld_Type">[1]Validation!$K$2:$K$18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 l="1"/>
  <c r="E8" i="2"/>
  <c r="K8" i="2"/>
  <c r="U9" i="2"/>
  <c r="T9" i="2"/>
  <c r="T8" i="2"/>
  <c r="W9" i="2"/>
  <c r="W8" i="2"/>
  <c r="Y885" i="5" l="1"/>
  <c r="Y886" i="5"/>
  <c r="Y887" i="5"/>
  <c r="Y888" i="5"/>
  <c r="Y889" i="5"/>
  <c r="Y890" i="5"/>
  <c r="Y891" i="5"/>
  <c r="Y892" i="5"/>
  <c r="Y893" i="5"/>
  <c r="Y894" i="5"/>
  <c r="Y895" i="5"/>
  <c r="Y896" i="5"/>
  <c r="Y897" i="5"/>
  <c r="Y898" i="5"/>
  <c r="Y899" i="5"/>
  <c r="Y900" i="5"/>
  <c r="Y901" i="5"/>
  <c r="Y902" i="5"/>
  <c r="Y903" i="5"/>
  <c r="Y904" i="5"/>
  <c r="Y905" i="5"/>
  <c r="Y906" i="5"/>
  <c r="Y907" i="5"/>
  <c r="Y884" i="5"/>
  <c r="U8" i="2"/>
  <c r="K10" i="2"/>
  <c r="T12" i="2"/>
  <c r="E10" i="2"/>
  <c r="T11" i="2"/>
  <c r="E12" i="7"/>
  <c r="E9" i="7"/>
  <c r="E8" i="7"/>
  <c r="E10" i="7"/>
  <c r="E11" i="7"/>
  <c r="E5" i="7"/>
  <c r="E13" i="7"/>
  <c r="E4" i="7"/>
  <c r="E3" i="7"/>
  <c r="E7" i="7"/>
  <c r="E6" i="7"/>
  <c r="F13" i="7" l="1"/>
  <c r="F12" i="7"/>
  <c r="F11" i="7"/>
  <c r="F10" i="7"/>
  <c r="F9" i="7"/>
  <c r="F8" i="7"/>
  <c r="F7" i="7"/>
  <c r="F6" i="7"/>
  <c r="F5" i="7"/>
  <c r="F4" i="7"/>
  <c r="F3" i="7"/>
  <c r="L3" i="3"/>
  <c r="L2" i="3"/>
  <c r="L1" i="3"/>
  <c r="C3" i="3"/>
  <c r="C4" i="3"/>
  <c r="C2" i="3"/>
  <c r="U12" i="2"/>
  <c r="A8" i="2"/>
  <c r="A9" i="2"/>
  <c r="U11" i="2"/>
  <c r="U10" i="2" s="1"/>
  <c r="T10" i="2"/>
  <c r="T13" i="2" l="1"/>
  <c r="U13" i="2"/>
  <c r="W11" i="2"/>
  <c r="A10" i="2"/>
  <c r="W10" i="2"/>
  <c r="W13" i="2"/>
  <c r="A11" i="2"/>
  <c r="A1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Jhon Alexander Narvaez Salazar</author>
    <author>Nixon Alfonso Uribe Rueda</author>
    <author>Miguel Angel Maldonado Ortiz</author>
  </authors>
  <commentList>
    <comment ref="A3" authorId="0" shapeId="0" xr:uid="{00000000-0006-0000-0000-000001000000}">
      <text>
        <r>
          <rPr>
            <b/>
            <sz val="9"/>
            <color indexed="81"/>
            <rFont val="Tahoma"/>
            <family val="2"/>
          </rPr>
          <t>Fabian Andres Florez Moreno:</t>
        </r>
        <r>
          <rPr>
            <sz val="9"/>
            <color indexed="81"/>
            <rFont val="Tahoma"/>
            <family val="2"/>
          </rPr>
          <t xml:space="preserve">
Escribir el Nombre de la Parada. Si es una Turnaround, Parada Técnica, y si se quiere incluir algún detalle importante tal como  por Ejemplo: TA Otthoflow 2019.
Si es un trabajo del día, se debe escribir MDD y el año previsto para ejecución</t>
        </r>
      </text>
    </comment>
    <comment ref="L3" authorId="0" shapeId="0" xr:uid="{00000000-0006-0000-0000-000002000000}">
      <text>
        <r>
          <rPr>
            <b/>
            <sz val="9"/>
            <color indexed="81"/>
            <rFont val="Tahoma"/>
            <family val="2"/>
          </rPr>
          <t>Fabian Andres Florez Moreno:</t>
        </r>
        <r>
          <rPr>
            <sz val="9"/>
            <color indexed="81"/>
            <rFont val="Tahoma"/>
            <family val="2"/>
          </rPr>
          <t xml:space="preserve">
Unidad a la que pertenece el equipo</t>
        </r>
      </text>
    </comment>
    <comment ref="Q3" authorId="0" shapeId="0" xr:uid="{00000000-0006-0000-0000-000003000000}">
      <text>
        <r>
          <rPr>
            <b/>
            <sz val="9"/>
            <color indexed="81"/>
            <rFont val="Tahoma"/>
            <family val="2"/>
          </rPr>
          <t>Fabian Andres Florez Moreno:</t>
        </r>
        <r>
          <rPr>
            <sz val="9"/>
            <color indexed="81"/>
            <rFont val="Tahoma"/>
            <family val="2"/>
          </rPr>
          <t xml:space="preserve">
De acuerdo a como se defina la WBS o si se acuerda hacerlo según la estructura de SAP, es importante llenar el campo de una manera estándar para que cuando se extraiga la información a Primavera u otro se pueda hacer un controlo por los sistemas de una determinada planta.</t>
        </r>
      </text>
    </comment>
    <comment ref="V3" authorId="0" shapeId="0" xr:uid="{00000000-0006-0000-0000-000004000000}">
      <text>
        <r>
          <rPr>
            <b/>
            <sz val="9"/>
            <color indexed="81"/>
            <rFont val="Tahoma"/>
            <family val="2"/>
          </rPr>
          <t>Fabian Andres Florez Moreno:</t>
        </r>
        <r>
          <rPr>
            <sz val="9"/>
            <color indexed="81"/>
            <rFont val="Tahoma"/>
            <family val="2"/>
          </rPr>
          <t xml:space="preserve">
Es el número del equipo a intervenir en SAP</t>
        </r>
      </text>
    </comment>
    <comment ref="Z3" authorId="0" shapeId="0" xr:uid="{00000000-0006-0000-0000-000005000000}">
      <text>
        <r>
          <rPr>
            <b/>
            <sz val="9"/>
            <color indexed="81"/>
            <rFont val="Tahoma"/>
            <family val="2"/>
          </rPr>
          <t>Fabian Andres Florez Moreno:</t>
        </r>
        <r>
          <rPr>
            <sz val="9"/>
            <color indexed="81"/>
            <rFont val="Tahoma"/>
            <family val="2"/>
          </rPr>
          <t xml:space="preserve">
Es el nombre coloquial del equipo o lo que en Ellipse se denominaba TAG.
Se debe poner el  TAG sin guiones, espacios ni ningún carácter especial.. Ejemplo, para el caso del intercambiador  E501 debe ponerse de esa manera E501 </t>
        </r>
      </text>
    </comment>
    <comment ref="A4" authorId="0" shapeId="0" xr:uid="{00000000-0006-0000-0000-000006000000}">
      <text>
        <r>
          <rPr>
            <b/>
            <sz val="9"/>
            <color indexed="81"/>
            <rFont val="Tahoma"/>
            <family val="2"/>
          </rPr>
          <t>Fabian Andres Florez Moreno:</t>
        </r>
        <r>
          <rPr>
            <sz val="9"/>
            <color indexed="81"/>
            <rFont val="Tahoma"/>
            <family val="2"/>
          </rPr>
          <t xml:space="preserve">
Es un campo para SAP. No llenar</t>
        </r>
      </text>
    </comment>
    <comment ref="L4" authorId="1" shapeId="0" xr:uid="{00000000-0006-0000-0000-000007000000}">
      <text>
        <r>
          <rPr>
            <b/>
            <sz val="9"/>
            <color indexed="81"/>
            <rFont val="Tahoma"/>
            <family val="2"/>
          </rPr>
          <t>Jhon Alexander Narvaez Salazar:</t>
        </r>
        <r>
          <rPr>
            <sz val="9"/>
            <color indexed="81"/>
            <rFont val="Tahoma"/>
            <family val="2"/>
          </rPr>
          <t xml:space="preserve">
No es requerido diligenciar, se utiliza para control en SAP 
</t>
        </r>
      </text>
    </comment>
    <comment ref="Q4" authorId="1" shapeId="0" xr:uid="{00000000-0006-0000-0000-000008000000}">
      <text>
        <r>
          <rPr>
            <b/>
            <sz val="9"/>
            <color indexed="81"/>
            <rFont val="Tahoma"/>
            <family val="2"/>
          </rPr>
          <t>Jhon Alexander Narvaez Salazar:</t>
        </r>
        <r>
          <rPr>
            <sz val="9"/>
            <color indexed="81"/>
            <rFont val="Tahoma"/>
            <family val="2"/>
          </rPr>
          <t xml:space="preserve">
No es requerido diligenciar, se utiliza para control en SAP 
</t>
        </r>
      </text>
    </comment>
    <comment ref="V4" authorId="1" shapeId="0" xr:uid="{00000000-0006-0000-0000-000009000000}">
      <text>
        <r>
          <rPr>
            <b/>
            <sz val="9"/>
            <color indexed="81"/>
            <rFont val="Tahoma"/>
            <family val="2"/>
          </rPr>
          <t>Jhon Alexander Narvaez Salazar:</t>
        </r>
        <r>
          <rPr>
            <sz val="9"/>
            <color indexed="81"/>
            <rFont val="Tahoma"/>
            <family val="2"/>
          </rPr>
          <t xml:space="preserve">
No es requerido diligenciar, se utiliza para control en SAP 
</t>
        </r>
      </text>
    </comment>
    <comment ref="Z4" authorId="0" shapeId="0" xr:uid="{00000000-0006-0000-0000-00000A000000}">
      <text>
        <r>
          <rPr>
            <b/>
            <sz val="9"/>
            <color indexed="81"/>
            <rFont val="Tahoma"/>
            <family val="2"/>
          </rPr>
          <t>Fabian Andres Florez Moreno:</t>
        </r>
        <r>
          <rPr>
            <sz val="9"/>
            <color indexed="81"/>
            <rFont val="Tahoma"/>
            <family val="2"/>
          </rPr>
          <t xml:space="preserve">
Se refiere a la especialidad o disciplina
Estático, Instrumentación, Electricidad, Mecánica, </t>
        </r>
      </text>
    </comment>
    <comment ref="AE4" authorId="0" shapeId="0" xr:uid="{00000000-0006-0000-0000-00000B000000}">
      <text>
        <r>
          <rPr>
            <b/>
            <sz val="9"/>
            <color indexed="81"/>
            <rFont val="Tahoma"/>
            <family val="2"/>
          </rPr>
          <t>Fabian Andres Florez Moreno:</t>
        </r>
        <r>
          <rPr>
            <sz val="9"/>
            <color indexed="81"/>
            <rFont val="Tahoma"/>
            <family val="2"/>
          </rPr>
          <t xml:space="preserve">
Se refiere al número de la Orden de Mantenimiento en SAP creada para atender el equipo.</t>
        </r>
      </text>
    </comment>
    <comment ref="A5" authorId="0" shapeId="0" xr:uid="{00000000-0006-0000-0000-00000C000000}">
      <text>
        <r>
          <rPr>
            <b/>
            <sz val="9"/>
            <color indexed="81"/>
            <rFont val="Tahoma"/>
            <family val="2"/>
          </rPr>
          <t>Fabian Andres Florez Moreno:</t>
        </r>
        <r>
          <rPr>
            <sz val="9"/>
            <color indexed="81"/>
            <rFont val="Tahoma"/>
            <family val="2"/>
          </rPr>
          <t xml:space="preserve">
Debe seleccionar el alcance de la lista. (Esta lista se creó con el fin de tener los alcances estándares para efectos de control posterior en el PDT)</t>
        </r>
      </text>
    </comment>
    <comment ref="L5" authorId="0" shapeId="0" xr:uid="{00000000-0006-0000-0000-00000D000000}">
      <text>
        <r>
          <rPr>
            <b/>
            <sz val="9"/>
            <color indexed="81"/>
            <rFont val="Tahoma"/>
            <family val="2"/>
          </rPr>
          <t>Fabian Andres Florez Moreno:</t>
        </r>
        <r>
          <rPr>
            <sz val="9"/>
            <color indexed="81"/>
            <rFont val="Tahoma"/>
            <family val="2"/>
          </rPr>
          <t xml:space="preserve">
Seleccionar la familia del equipo. Si se crea un formato estándar en P8 para una familia este debe mantenerse constante.
Ejemplo: Para el formato de la estimación de horas hombre para intercambiadores, este campo siempre debe ser "INTERCAMBIADORES DE CALOR"</t>
        </r>
      </text>
    </comment>
    <comment ref="X5" authorId="0" shapeId="0" xr:uid="{00000000-0006-0000-0000-00000E000000}">
      <text>
        <r>
          <rPr>
            <b/>
            <sz val="9"/>
            <color indexed="81"/>
            <rFont val="Tahoma"/>
            <family val="2"/>
          </rPr>
          <t>Fabian Andres Florez Moreno:</t>
        </r>
        <r>
          <rPr>
            <sz val="9"/>
            <color indexed="81"/>
            <rFont val="Tahoma"/>
            <family val="2"/>
          </rPr>
          <t xml:space="preserve">
Son los diferentes factores definidos en las normas de labor asociado a condiciones de trabajo: altura, espacio confinado, restricción de máscaras y trajes especiales, </t>
        </r>
      </text>
    </comment>
    <comment ref="AB5" authorId="0" shapeId="0" xr:uid="{00000000-0006-0000-0000-00000F000000}">
      <text>
        <r>
          <rPr>
            <b/>
            <sz val="9"/>
            <color indexed="81"/>
            <rFont val="Tahoma"/>
            <family val="2"/>
          </rPr>
          <t>Fabian Andres Florez Moreno:</t>
        </r>
        <r>
          <rPr>
            <sz val="9"/>
            <color indexed="81"/>
            <rFont val="Tahoma"/>
            <family val="2"/>
          </rPr>
          <t xml:space="preserve">
Son otros factores que son específicos según la norma que aplica, dentro de los cuales está el de material para el caso de soldaduras y los usados para definir el tipo de limpieza de intercambiadores</t>
        </r>
      </text>
    </comment>
    <comment ref="A6" authorId="0" shapeId="0" xr:uid="{00000000-0006-0000-0000-000010000000}">
      <text>
        <r>
          <rPr>
            <b/>
            <sz val="9"/>
            <color indexed="81"/>
            <rFont val="Tahoma"/>
            <family val="2"/>
          </rPr>
          <t>Fabian Andres Florez Moreno:</t>
        </r>
        <r>
          <rPr>
            <sz val="9"/>
            <color indexed="81"/>
            <rFont val="Tahoma"/>
            <family val="2"/>
          </rPr>
          <t xml:space="preserve">
Número del registro de la persona que hace la estimación</t>
        </r>
      </text>
    </comment>
    <comment ref="D6" authorId="0" shapeId="0" xr:uid="{00000000-0006-0000-0000-000011000000}">
      <text>
        <r>
          <rPr>
            <b/>
            <sz val="9"/>
            <color indexed="81"/>
            <rFont val="Tahoma"/>
            <family val="2"/>
          </rPr>
          <t>Fabian Andres Florez Moreno:</t>
        </r>
        <r>
          <rPr>
            <sz val="9"/>
            <color indexed="81"/>
            <rFont val="Tahoma"/>
            <family val="2"/>
          </rPr>
          <t xml:space="preserve">
Nomber del planeador que realizó la estimación</t>
        </r>
      </text>
    </comment>
    <comment ref="L6" authorId="0" shapeId="0" xr:uid="{00000000-0006-0000-0000-000012000000}">
      <text>
        <r>
          <rPr>
            <b/>
            <sz val="9"/>
            <color indexed="81"/>
            <rFont val="Tahoma"/>
            <family val="2"/>
          </rPr>
          <t>Fabian Andres Florez Moreno:</t>
        </r>
        <r>
          <rPr>
            <sz val="9"/>
            <color indexed="81"/>
            <rFont val="Tahoma"/>
            <family val="2"/>
          </rPr>
          <t xml:space="preserve">
Fecha de realización de la estimación</t>
        </r>
      </text>
    </comment>
    <comment ref="P6" authorId="0" shapeId="0" xr:uid="{00000000-0006-0000-0000-000013000000}">
      <text>
        <r>
          <rPr>
            <b/>
            <sz val="9"/>
            <color indexed="81"/>
            <rFont val="Tahoma"/>
            <family val="2"/>
          </rPr>
          <t>Fabian Andres Florez Moreno:</t>
        </r>
        <r>
          <rPr>
            <sz val="9"/>
            <color indexed="81"/>
            <rFont val="Tahoma"/>
            <family val="2"/>
          </rPr>
          <t xml:space="preserve">
Factor del contrato o Factor de productividad para campo. Corresponde al ofertado por el contratista si el trabajo es contratado o corresponde al factor acordado con MDD para el caso de recurso propio.</t>
        </r>
      </text>
    </comment>
    <comment ref="A7" authorId="0" shapeId="0" xr:uid="{00000000-0006-0000-0000-000014000000}">
      <text>
        <r>
          <rPr>
            <b/>
            <sz val="9"/>
            <color indexed="81"/>
            <rFont val="Tahoma"/>
            <family val="2"/>
          </rPr>
          <t xml:space="preserve">Fabian Andres Florez Moreno
</t>
        </r>
        <r>
          <rPr>
            <sz val="9"/>
            <color indexed="81"/>
            <rFont val="Tahoma"/>
            <family val="2"/>
          </rPr>
          <t xml:space="preserve">OP: Número de la Operación
(son las de las filas resaltadas en color verde, son tareas agrupadoras que en primera instancia son las que subirían a Primavera y a SAP).
Se enumeran de 10 en 10, es decir: 10, 20, 30, etc.
Para las plantillas por familas de equipos se definen tareas estándar con numeración estándar. Para el caso de Intercambiadores la tarea 10: Siempre corresponderá a Armado de andamios. 
En caso de requerirse una tarea especial por fuera del estándar, la misma deberá crearse con una numeración diferentea es decir si va después de la 10, se debe crear con el número 11.
Las subtareas corresponden a las tareas de detalle que se estima con norma de labor, se deben enumerar con el número de la operación seguido de , y el subnúmero correspondiente, es decir: 10,1 y así sucesivamente.
</t>
        </r>
      </text>
    </comment>
    <comment ref="B7" authorId="2" shapeId="0" xr:uid="{00000000-0006-0000-0000-000015000000}">
      <text>
        <r>
          <rPr>
            <b/>
            <sz val="9"/>
            <color indexed="81"/>
            <rFont val="Tahoma"/>
            <family val="2"/>
          </rPr>
          <t>Nixon Alfonso Uribe Rueda:</t>
        </r>
        <r>
          <rPr>
            <sz val="9"/>
            <color indexed="81"/>
            <rFont val="Tahoma"/>
            <family val="2"/>
          </rPr>
          <t xml:space="preserve">
Vacia</t>
        </r>
      </text>
    </comment>
    <comment ref="C7" authorId="2" shapeId="0" xr:uid="{00000000-0006-0000-0000-000016000000}">
      <text>
        <r>
          <rPr>
            <b/>
            <sz val="9"/>
            <color indexed="81"/>
            <rFont val="Tahoma"/>
            <family val="2"/>
          </rPr>
          <t>Nixon Uribe
MINSARFB
MMETARFB
MELEARFB
MMECARFB</t>
        </r>
        <r>
          <rPr>
            <sz val="9"/>
            <color indexed="81"/>
            <rFont val="Tahoma"/>
            <family val="2"/>
          </rPr>
          <t xml:space="preserve">
Son los puestos de trabajo para SAP, a la hora de generar Oms u hojas de ruta.
Es irrelevante para el caso de los PDTs en Primavera
Se debe llenar para las filas de operaciones, es decir las de color</t>
        </r>
      </text>
    </comment>
    <comment ref="D7" authorId="2" shapeId="0" xr:uid="{00000000-0006-0000-0000-000017000000}">
      <text>
        <r>
          <rPr>
            <b/>
            <sz val="9"/>
            <color indexed="81"/>
            <rFont val="Tahoma"/>
            <family val="2"/>
          </rPr>
          <t>Nixon Alfonso Uribe Rueda:</t>
        </r>
        <r>
          <rPr>
            <sz val="9"/>
            <color indexed="81"/>
            <rFont val="Tahoma"/>
            <family val="2"/>
          </rPr>
          <t xml:space="preserve">
2000
Corresponde a Refinería Barrancabermeja (es para uso en SAP)
Se debe llenar para las filas de operaciones, es decir las de color</t>
        </r>
      </text>
    </comment>
    <comment ref="E7" authorId="2" shapeId="0" xr:uid="{00000000-0006-0000-0000-000018000000}">
      <text>
        <r>
          <rPr>
            <b/>
            <sz val="9"/>
            <color indexed="81"/>
            <rFont val="Tahoma"/>
            <family val="2"/>
          </rPr>
          <t>Nixon Alfonso Uribe Rueda:</t>
        </r>
        <r>
          <rPr>
            <sz val="9"/>
            <color indexed="81"/>
            <rFont val="Tahoma"/>
            <family val="2"/>
          </rPr>
          <t xml:space="preserve">
PM01  Recurso propio
PM07 Recurso contrato
Uso en SAP
Se debe llenar para las filas de operaciones, es decir las de color</t>
        </r>
      </text>
    </comment>
    <comment ref="F7" authorId="0" shapeId="0" xr:uid="{00000000-0006-0000-0000-000019000000}">
      <text>
        <r>
          <rPr>
            <b/>
            <sz val="9"/>
            <color indexed="81"/>
            <rFont val="Tahoma"/>
            <family val="2"/>
          </rPr>
          <t>Fabian Andres Florez Moreno:</t>
        </r>
        <r>
          <rPr>
            <sz val="9"/>
            <color indexed="81"/>
            <rFont val="Tahoma"/>
            <family val="2"/>
          </rPr>
          <t xml:space="preserve">
En el renglón verde: Descripción de la operación, 
En los renglones en blanco: descripción de cada subtarea</t>
        </r>
      </text>
    </comment>
    <comment ref="G7" authorId="2" shapeId="0" xr:uid="{00000000-0006-0000-0000-00001A000000}">
      <text>
        <r>
          <rPr>
            <b/>
            <sz val="9"/>
            <color indexed="81"/>
            <rFont val="Tahoma"/>
            <family val="2"/>
          </rPr>
          <t>Nixon Alfonso Uribe Rueda:</t>
        </r>
        <r>
          <rPr>
            <sz val="9"/>
            <color indexed="81"/>
            <rFont val="Tahoma"/>
            <family val="2"/>
          </rPr>
          <t xml:space="preserve">
PM01  Recurso propio
PM07 Recurso contrato
Solo es para uso en SAP en hojas de ruta</t>
        </r>
      </text>
    </comment>
    <comment ref="H7" authorId="2" shapeId="0" xr:uid="{00000000-0006-0000-0000-00001B000000}">
      <text>
        <r>
          <rPr>
            <b/>
            <sz val="9"/>
            <color indexed="81"/>
            <rFont val="Tahoma"/>
            <family val="2"/>
          </rPr>
          <t>Nixon Alfonso Uribe Rueda:</t>
        </r>
        <r>
          <rPr>
            <sz val="9"/>
            <color indexed="81"/>
            <rFont val="Tahoma"/>
            <family val="2"/>
          </rPr>
          <t xml:space="preserve">
Horas
Solo para uso de SAP para hojas de ruta</t>
        </r>
      </text>
    </comment>
    <comment ref="I7" authorId="2" shapeId="0" xr:uid="{00000000-0006-0000-0000-00001C000000}">
      <text>
        <r>
          <rPr>
            <b/>
            <sz val="9"/>
            <color indexed="81"/>
            <rFont val="Tahoma"/>
            <family val="2"/>
          </rPr>
          <t>Nixon Alfonso Uribe Rueda:</t>
        </r>
        <r>
          <rPr>
            <sz val="9"/>
            <color indexed="81"/>
            <rFont val="Tahoma"/>
            <family val="2"/>
          </rPr>
          <t xml:space="preserve">
Numero de personas, para la norma es 1
Solo para uso de SAP en hojas de ruta</t>
        </r>
      </text>
    </comment>
    <comment ref="J7" authorId="2" shapeId="0" xr:uid="{00000000-0006-0000-0000-00001D000000}">
      <text>
        <r>
          <rPr>
            <b/>
            <sz val="9"/>
            <color indexed="81"/>
            <rFont val="Tahoma"/>
            <family val="2"/>
          </rPr>
          <t>Nixon Alfonso Uribe Rueda:</t>
        </r>
        <r>
          <rPr>
            <sz val="9"/>
            <color indexed="81"/>
            <rFont val="Tahoma"/>
            <family val="2"/>
          </rPr>
          <t xml:space="preserve">
Duración de la actividad, horas de la norma
Solo para uso de SAP en hojas de ruta</t>
        </r>
      </text>
    </comment>
    <comment ref="L7" authorId="1" shapeId="0" xr:uid="{00000000-0006-0000-0000-00001E000000}">
      <text>
        <r>
          <rPr>
            <b/>
            <sz val="9"/>
            <color indexed="81"/>
            <rFont val="Tahoma"/>
            <family val="2"/>
          </rPr>
          <t>Jhon Alexander Narvaez Salazar:</t>
        </r>
        <r>
          <rPr>
            <sz val="9"/>
            <color indexed="81"/>
            <rFont val="Tahoma"/>
            <family val="2"/>
          </rPr>
          <t xml:space="preserve">
Define el tipo de actividad: 
TBT: tarea basada en el tiempo, actividades siempre requeridas independiente del alcance
TBC: tareas basadas en la condicion, actividades que solo se ejecutan según la condicion del activo</t>
        </r>
      </text>
    </comment>
    <comment ref="M7" authorId="0" shapeId="0" xr:uid="{00000000-0006-0000-0000-00001F000000}">
      <text>
        <r>
          <rPr>
            <b/>
            <sz val="9"/>
            <color indexed="81"/>
            <rFont val="Tahoma"/>
            <family val="2"/>
          </rPr>
          <t>Fabian Andres Florez Moreno:</t>
        </r>
        <r>
          <rPr>
            <sz val="9"/>
            <color indexed="81"/>
            <rFont val="Tahoma"/>
            <family val="2"/>
          </rPr>
          <t xml:space="preserve">
Se refiere a la especialidad de quien va a ejecutar la subtarea:
Para actividades como grúa debe incluirse el equipo sin horas hombre pero si la duración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OTRO: OTRO RECURSO QUE NO ESTÁ EN EL LISTADO PREDEFINIDO
</t>
        </r>
      </text>
    </comment>
    <comment ref="N7" authorId="0" shapeId="0" xr:uid="{00000000-0006-0000-0000-000020000000}">
      <text>
        <r>
          <rPr>
            <b/>
            <sz val="9"/>
            <color indexed="81"/>
            <rFont val="Tahoma"/>
            <family val="2"/>
          </rPr>
          <t>Fabian Andres Florez Moreno:</t>
        </r>
        <r>
          <rPr>
            <sz val="9"/>
            <color indexed="81"/>
            <rFont val="Tahoma"/>
            <family val="2"/>
          </rPr>
          <t xml:space="preserve">
Corresponde a la fase donde podría realizarse la operación: Alistamiento (antes de la parada), Ejecución (con la planta fuera de servicio). Otro (para cuando exista duda o se tenga pendiente por definición.</t>
        </r>
      </text>
    </comment>
    <comment ref="O7" authorId="0" shapeId="0" xr:uid="{00000000-0006-0000-0000-000021000000}">
      <text>
        <r>
          <rPr>
            <b/>
            <sz val="9"/>
            <color indexed="81"/>
            <rFont val="Tahoma"/>
            <family val="2"/>
          </rPr>
          <t>Fabian Andres Florez Moreno:</t>
        </r>
        <r>
          <rPr>
            <sz val="9"/>
            <color indexed="81"/>
            <rFont val="Tahoma"/>
            <family val="2"/>
          </rPr>
          <t xml:space="preserve">
Es la cantidad que se requiere estimar, se debe ingresar el valor númerico. Es decir, por ejemplo si se requiere retirar 24 espárragos, se debe ingresar el número 24</t>
        </r>
      </text>
    </comment>
    <comment ref="P7" authorId="0" shapeId="0" xr:uid="{00000000-0006-0000-0000-000022000000}">
      <text>
        <r>
          <rPr>
            <b/>
            <sz val="9"/>
            <color indexed="81"/>
            <rFont val="Tahoma"/>
            <family val="2"/>
          </rPr>
          <t>Fabian Andres Florez Moreno:</t>
        </r>
        <r>
          <rPr>
            <sz val="9"/>
            <color indexed="81"/>
            <rFont val="Tahoma"/>
            <family val="2"/>
          </rPr>
          <t xml:space="preserve">
Es la unidad de medida, para el caso de los 24 espárragos, la unidad de medida es "unidad",
</t>
        </r>
      </text>
    </comment>
    <comment ref="Q7" authorId="0" shapeId="0" xr:uid="{00000000-0006-0000-0000-000023000000}">
      <text>
        <r>
          <rPr>
            <b/>
            <sz val="9"/>
            <color indexed="81"/>
            <rFont val="Tahoma"/>
            <family val="2"/>
          </rPr>
          <t>Fabian Andres Florez Moreno:</t>
        </r>
        <r>
          <rPr>
            <sz val="9"/>
            <color indexed="81"/>
            <rFont val="Tahoma"/>
            <family val="2"/>
          </rPr>
          <t xml:space="preserve">
Norma usada para la estimación
GRB/GRC: Normas de labor de Refinería Barranca / Cartagena.
ARCADIS: Normas de labor Arcadis.
DACE: Normas de labor DACE
NA: Actividades que no tienen norma definida, que son estimadas por juicio de expertos </t>
        </r>
      </text>
    </comment>
    <comment ref="R7" authorId="0" shapeId="0" xr:uid="{00000000-0006-0000-0000-000024000000}">
      <text>
        <r>
          <rPr>
            <b/>
            <sz val="9"/>
            <color indexed="81"/>
            <rFont val="Tahoma"/>
            <family val="2"/>
          </rPr>
          <t>Fabian Andres Florez Moreno:</t>
        </r>
        <r>
          <rPr>
            <sz val="9"/>
            <color indexed="81"/>
            <rFont val="Tahoma"/>
            <family val="2"/>
          </rPr>
          <t xml:space="preserve">
Se define si la actividad estimada se ejecuta en taller o en campo. Dependiendo de esta definición se aplica o el factor del contrato de taller o el factor de contrato de campo</t>
        </r>
      </text>
    </comment>
    <comment ref="S7" authorId="0" shapeId="0" xr:uid="{00000000-0006-0000-0000-000025000000}">
      <text>
        <r>
          <rPr>
            <b/>
            <sz val="9"/>
            <color indexed="81"/>
            <rFont val="Tahoma"/>
            <family val="2"/>
          </rPr>
          <t>Fabian Andres Florez Moreno:</t>
        </r>
        <r>
          <rPr>
            <sz val="9"/>
            <color indexed="81"/>
            <rFont val="Tahoma"/>
            <family val="2"/>
          </rPr>
          <t xml:space="preserve">
Es el valor de norma para la actividad estimada</t>
        </r>
      </text>
    </comment>
    <comment ref="T7" authorId="0" shapeId="0" xr:uid="{00000000-0006-0000-0000-000026000000}">
      <text>
        <r>
          <rPr>
            <b/>
            <sz val="9"/>
            <color indexed="81"/>
            <rFont val="Tahoma"/>
            <family val="2"/>
          </rPr>
          <t>Fabian Andres Florez Moreno:</t>
        </r>
        <r>
          <rPr>
            <sz val="9"/>
            <color indexed="81"/>
            <rFont val="Tahoma"/>
            <family val="2"/>
          </rPr>
          <t xml:space="preserve">
La plantilla calcula el valor automáticamente y en esta celda aparece el resultado de multiplicar la cantidad de obra por el valor de la norma afectado por los factores de condición o especial que se hayan definido.
Si  en el campo Norma, está seleccionada la opción NA, la celda mostrará el resultado de la multiplicación de la cantidad de obra por el valor norma y no se afectará por ningún factor de condición ni especial
En la celda de la operación se suman todas los resultados de las subtareas que la componen</t>
        </r>
      </text>
    </comment>
    <comment ref="U7" authorId="0" shapeId="0" xr:uid="{00000000-0006-0000-0000-000027000000}">
      <text>
        <r>
          <rPr>
            <b/>
            <sz val="9"/>
            <color indexed="81"/>
            <rFont val="Tahoma"/>
            <family val="2"/>
          </rPr>
          <t>Fabian Andres Florez Moreno:</t>
        </r>
        <r>
          <rPr>
            <sz val="9"/>
            <color indexed="81"/>
            <rFont val="Tahoma"/>
            <family val="2"/>
          </rPr>
          <t xml:space="preserve">
Es el resultado de multiplicar la celda de la columan S "HH con factores de condición y Especiales" x  el factor de planta o taller según sea el caso.
Si en el campo norma se seleccionó NA, ell valor de esta celda será el mismo que el da la celda S, debido a que las horas hombre por juicio de expertos no se afectan por el factor del contrato.
En la celda de la operación se suman todas los resultados de las subtareas que la componen</t>
        </r>
      </text>
    </comment>
    <comment ref="V7" authorId="0" shapeId="0" xr:uid="{00000000-0006-0000-0000-000028000000}">
      <text>
        <r>
          <rPr>
            <b/>
            <sz val="9"/>
            <color indexed="81"/>
            <rFont val="Tahoma"/>
            <family val="2"/>
          </rPr>
          <t>Fabian Andres Florez Moreno:</t>
        </r>
        <r>
          <rPr>
            <sz val="9"/>
            <color indexed="81"/>
            <rFont val="Tahoma"/>
            <family val="2"/>
          </rPr>
          <t xml:space="preserve">
Para determinar la duración para llevar a PDT, en esta celda se deben definir la cantida de personas requeridas para ejecutar  la subtarea</t>
        </r>
      </text>
    </comment>
    <comment ref="W7" authorId="0" shapeId="0" xr:uid="{00000000-0006-0000-0000-000029000000}">
      <text>
        <r>
          <rPr>
            <b/>
            <sz val="9"/>
            <color indexed="81"/>
            <rFont val="Tahoma"/>
            <family val="2"/>
          </rPr>
          <t>Fabian Andres Florez Moreno:</t>
        </r>
        <r>
          <rPr>
            <sz val="9"/>
            <color indexed="81"/>
            <rFont val="Tahoma"/>
            <family val="2"/>
          </rPr>
          <t xml:space="preserve">
Es duración real estimada y está formulada y es el resultado de dividir las horas hombre directas totales entre la cantidad de personas</t>
        </r>
      </text>
    </comment>
    <comment ref="X7" authorId="3" shapeId="0" xr:uid="{00000000-0006-0000-0000-00002A000000}">
      <text>
        <r>
          <rPr>
            <b/>
            <sz val="9"/>
            <color indexed="81"/>
            <rFont val="Tahoma"/>
            <family val="2"/>
          </rPr>
          <t>Jhon Narvaez:</t>
        </r>
        <r>
          <rPr>
            <sz val="9"/>
            <color indexed="81"/>
            <rFont val="Tahoma"/>
            <family val="2"/>
          </rPr>
          <t xml:space="preserve">
Hasta 6 metros = 1
&gt; 6 m hasta 12 m = 1,03
&gt; 12 m hasta 18 m = 1,05
&gt; 18 m hasta 24 m = 1,08
&gt; 24m =  1,10
</t>
        </r>
      </text>
    </comment>
    <comment ref="Y7" authorId="3" shapeId="0" xr:uid="{00000000-0006-0000-0000-00002B000000}">
      <text>
        <r>
          <rPr>
            <b/>
            <sz val="9"/>
            <color indexed="81"/>
            <rFont val="Tahoma"/>
            <family val="2"/>
          </rPr>
          <t xml:space="preserve">Jhon Narvaez:
</t>
        </r>
        <r>
          <rPr>
            <sz val="9"/>
            <color indexed="81"/>
            <rFont val="Tahoma"/>
            <family val="2"/>
          </rPr>
          <t xml:space="preserve">
Espacios confinados = 1,1
1,00= No confinados</t>
        </r>
      </text>
    </comment>
    <comment ref="Z7" authorId="3" shapeId="0" xr:uid="{00000000-0006-0000-0000-00002C000000}">
      <text>
        <r>
          <rPr>
            <b/>
            <sz val="9"/>
            <color indexed="81"/>
            <rFont val="Tahoma"/>
            <family val="2"/>
          </rPr>
          <t xml:space="preserve">Jhon Narvaez:
</t>
        </r>
        <r>
          <rPr>
            <sz val="9"/>
            <color indexed="81"/>
            <rFont val="Tahoma"/>
            <family val="2"/>
          </rPr>
          <t>Uso de máscara = 1,15</t>
        </r>
      </text>
    </comment>
    <comment ref="AA7" authorId="3" shapeId="0" xr:uid="{00000000-0006-0000-0000-00002D000000}">
      <text>
        <r>
          <rPr>
            <b/>
            <sz val="9"/>
            <color indexed="81"/>
            <rFont val="Tahoma"/>
            <family val="2"/>
          </rPr>
          <t>Jhon Narvaez:</t>
        </r>
        <r>
          <rPr>
            <sz val="9"/>
            <color indexed="81"/>
            <rFont val="Tahoma"/>
            <family val="2"/>
          </rPr>
          <t xml:space="preserve">
Uso de Traje Tychen o Neopreno = 1,15
Uso de equipo Aire Fresco = 1,15
</t>
        </r>
      </text>
    </comment>
    <comment ref="AB7" authorId="0" shapeId="0" xr:uid="{00000000-0006-0000-0000-00002E000000}">
      <text>
        <r>
          <rPr>
            <b/>
            <sz val="9"/>
            <color indexed="81"/>
            <rFont val="Tahoma"/>
            <family val="2"/>
          </rPr>
          <t>Fabian Andres Florez Moreno:</t>
        </r>
        <r>
          <rPr>
            <sz val="9"/>
            <color indexed="81"/>
            <rFont val="Tahoma"/>
            <family val="2"/>
          </rPr>
          <t xml:space="preserve">
Factor de material por soldadura
Acero Carbón: 1,00
Low Temp Carbon steel: 1,15
Inconel: 1,25
Incolloy: 1,25
Monel:1,25
Cromo: 1,25
Molibdeno: 1,25
Aluminio: 1,50
Cupro Nickel: 1,50
Duplex: 1,66</t>
        </r>
      </text>
    </comment>
    <comment ref="AC7" authorId="0" shapeId="0" xr:uid="{00000000-0006-0000-0000-00002F000000}">
      <text>
        <r>
          <rPr>
            <b/>
            <sz val="9"/>
            <color indexed="81"/>
            <rFont val="Tahoma"/>
            <family val="2"/>
          </rPr>
          <t>Fabian Andres Florez Moreno:</t>
        </r>
        <r>
          <rPr>
            <sz val="9"/>
            <color indexed="81"/>
            <rFont val="Tahoma"/>
            <family val="2"/>
          </rPr>
          <t xml:space="preserve">
Factores de fouling (Intercambiadores de calor). Tipo de depósitos:
Bajo: &lt;5%. Factor =0,86
Medio: &gt;5%, &lt;25% Factor =1
Alto &lt;25%, &lt;50% Factor=1,34</t>
        </r>
      </text>
    </comment>
    <comment ref="AD7" authorId="0" shapeId="0" xr:uid="{00000000-0006-0000-0000-000030000000}">
      <text>
        <r>
          <rPr>
            <b/>
            <sz val="9"/>
            <color indexed="81"/>
            <rFont val="Tahoma"/>
            <family val="2"/>
          </rPr>
          <t>Fabian Andres Florez Moreno:</t>
        </r>
        <r>
          <rPr>
            <sz val="9"/>
            <color indexed="81"/>
            <rFont val="Tahoma"/>
            <family val="2"/>
          </rPr>
          <t xml:space="preserve">
Factores por tipo depósitos (Intercambiadores de calor)
Fixed/ Sticky / Tough F=1,25</t>
        </r>
      </text>
    </comment>
    <comment ref="AE7" authorId="0" shapeId="0" xr:uid="{00000000-0006-0000-0000-000031000000}">
      <text>
        <r>
          <rPr>
            <b/>
            <sz val="9"/>
            <color indexed="81"/>
            <rFont val="Tahoma"/>
            <family val="2"/>
          </rPr>
          <t>Fabian Andres Florez Moreno:</t>
        </r>
        <r>
          <rPr>
            <sz val="9"/>
            <color indexed="81"/>
            <rFont val="Tahoma"/>
            <family val="2"/>
          </rPr>
          <t xml:space="preserve">
Factor de limpieza de IC (Si es en la planta o en el patio de lavado)
Taller: 1,00
En sitio: 1,20</t>
        </r>
      </text>
    </comment>
    <comment ref="AF7" authorId="0" shapeId="0" xr:uid="{00000000-0006-0000-0000-000032000000}">
      <text>
        <r>
          <rPr>
            <b/>
            <sz val="9"/>
            <color indexed="81"/>
            <rFont val="Tahoma"/>
            <family val="2"/>
          </rPr>
          <t>Fabian Andres Florez Moreno:</t>
        </r>
        <r>
          <rPr>
            <sz val="9"/>
            <color indexed="81"/>
            <rFont val="Tahoma"/>
            <family val="2"/>
          </rPr>
          <t xml:space="preserve">
Factor para inspección (% IRIS), aplica para limpieza de Intercambiadores de calor
5% Factor = 0,90
10%       =1,00
20%      =1,20
30%       =1,40
40%      =1,60
50%      =1,80
60%       =2,00
70%      =2,20
80%      =2,40
90%       =2,60
100%      =2,80</t>
        </r>
      </text>
    </comment>
    <comment ref="AG7" authorId="0" shapeId="0" xr:uid="{00000000-0006-0000-0000-000033000000}">
      <text>
        <r>
          <rPr>
            <sz val="9"/>
            <color indexed="81"/>
            <rFont val="Tahoma"/>
            <family val="2"/>
          </rPr>
          <t>Usarlo cuando se requiera algún factor que no está incluido en las columnas anteriores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Miguel Angel Maldonado Ortiz</author>
    <author>Santiago Niño</author>
  </authors>
  <commentList>
    <comment ref="L1" authorId="0" shapeId="0" xr:uid="{00000000-0006-0000-0400-000001000000}">
      <text>
        <r>
          <rPr>
            <b/>
            <sz val="9"/>
            <color indexed="81"/>
            <rFont val="Tahoma"/>
            <family val="2"/>
          </rPr>
          <t>Fabian Andres Florez Moreno:</t>
        </r>
        <r>
          <rPr>
            <sz val="9"/>
            <color indexed="81"/>
            <rFont val="Tahoma"/>
            <family val="2"/>
          </rPr>
          <t xml:space="preserve">
m = metros lineales
m2= metros cuadrados
m3= metros cúbicos
ft = pies lineales
ft2= pies cuadrados
ft3= pies cúbicos
in= pulgadas
mm=milimetros
T= tonteladas
Kg= kilogramos
lb= libras
EA = unidades</t>
        </r>
      </text>
    </comment>
    <comment ref="Q1" authorId="1" shapeId="0" xr:uid="{00000000-0006-0000-0400-000002000000}">
      <text>
        <r>
          <rPr>
            <b/>
            <sz val="9"/>
            <color indexed="81"/>
            <rFont val="Tahoma"/>
            <family val="2"/>
          </rPr>
          <t>Jhon Narvaez:</t>
        </r>
        <r>
          <rPr>
            <sz val="9"/>
            <color indexed="81"/>
            <rFont val="Tahoma"/>
            <family val="2"/>
          </rPr>
          <t xml:space="preserve">
Hasta 6 metros = 1
&gt; 6 m hasta 12 m = 1,03
&gt; 12 m hasta 18 m = 1,05
&gt; 18 m hasta 24 m = 1,08
&gt; 24m =  1,15
</t>
        </r>
      </text>
    </comment>
    <comment ref="R1" authorId="1" shapeId="0" xr:uid="{00000000-0006-0000-0400-000003000000}">
      <text>
        <r>
          <rPr>
            <b/>
            <sz val="9"/>
            <color indexed="81"/>
            <rFont val="Tahoma"/>
            <family val="2"/>
          </rPr>
          <t xml:space="preserve">Jhon Narvaez:
</t>
        </r>
        <r>
          <rPr>
            <sz val="9"/>
            <color indexed="81"/>
            <rFont val="Tahoma"/>
            <family val="2"/>
          </rPr>
          <t xml:space="preserve">
Espacios confinados = 1,1</t>
        </r>
      </text>
    </comment>
    <comment ref="S1" authorId="1" shapeId="0" xr:uid="{00000000-0006-0000-0400-000004000000}">
      <text>
        <r>
          <rPr>
            <b/>
            <sz val="9"/>
            <color indexed="81"/>
            <rFont val="Tahoma"/>
            <family val="2"/>
          </rPr>
          <t xml:space="preserve">Jhon Narvaez:
</t>
        </r>
        <r>
          <rPr>
            <sz val="9"/>
            <color indexed="81"/>
            <rFont val="Tahoma"/>
            <family val="2"/>
          </rPr>
          <t>Uso de máscara = 1,15</t>
        </r>
      </text>
    </comment>
    <comment ref="T1" authorId="1" shapeId="0" xr:uid="{00000000-0006-0000-0400-000005000000}">
      <text>
        <r>
          <rPr>
            <b/>
            <sz val="9"/>
            <color indexed="81"/>
            <rFont val="Tahoma"/>
            <family val="2"/>
          </rPr>
          <t>Jhon Narvaez:</t>
        </r>
        <r>
          <rPr>
            <sz val="9"/>
            <color indexed="81"/>
            <rFont val="Tahoma"/>
            <family val="2"/>
          </rPr>
          <t xml:space="preserve">
Uso de Traje Tychen o Neopreno = 1,15
Uso de equipo Aire Fresco = 1,15
</t>
        </r>
      </text>
    </comment>
    <comment ref="U1" authorId="0" shapeId="0" xr:uid="{00000000-0006-0000-0400-000006000000}">
      <text>
        <r>
          <rPr>
            <b/>
            <sz val="9"/>
            <color indexed="81"/>
            <rFont val="Tahoma"/>
            <family val="2"/>
          </rPr>
          <t>Fabian Andres Florez Moreno:</t>
        </r>
        <r>
          <rPr>
            <sz val="9"/>
            <color indexed="81"/>
            <rFont val="Tahoma"/>
            <family val="2"/>
          </rPr>
          <t xml:space="preserve">
Acero Carbón: 1,00
Low Temp Carbon steel: 1,15
Inconel: 1,25
Incolloy: 1,25
Monel:1,25
Cromo: 1,25
Molibdeno: 1,25
Aluminio: 1,50
Cupro Nickel: 1,50
Duplex: 1,66</t>
        </r>
      </text>
    </comment>
    <comment ref="A17" authorId="0" shapeId="0" xr:uid="{00000000-0006-0000-0400-000007000000}">
      <text>
        <r>
          <rPr>
            <b/>
            <sz val="9"/>
            <color indexed="81"/>
            <rFont val="Tahoma"/>
            <family val="2"/>
          </rPr>
          <t>Fabian Andres Florez Moreno:</t>
        </r>
        <r>
          <rPr>
            <sz val="9"/>
            <color indexed="81"/>
            <rFont val="Tahoma"/>
            <family val="2"/>
          </rPr>
          <t xml:space="preserve">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t>
        </r>
      </text>
    </comment>
    <comment ref="E105" authorId="2" shapeId="0" xr:uid="{00000000-0006-0000-0400-000008000000}">
      <text>
        <r>
          <rPr>
            <b/>
            <sz val="9"/>
            <color indexed="81"/>
            <rFont val="Tahoma"/>
            <family val="2"/>
          </rPr>
          <t>Santiago Niño:</t>
        </r>
        <r>
          <rPr>
            <sz val="9"/>
            <color indexed="81"/>
            <rFont val="Tahoma"/>
            <family val="2"/>
          </rPr>
          <t xml:space="preserve">
</t>
        </r>
      </text>
    </comment>
  </commentList>
</comments>
</file>

<file path=xl/sharedStrings.xml><?xml version="1.0" encoding="utf-8"?>
<sst xmlns="http://schemas.openxmlformats.org/spreadsheetml/2006/main" count="2356" uniqueCount="970">
  <si>
    <t>Parada:</t>
  </si>
  <si>
    <t>Unidad</t>
  </si>
  <si>
    <t>U-100</t>
  </si>
  <si>
    <t>Sistema:</t>
  </si>
  <si>
    <t xml:space="preserve">Equipo SAP: </t>
  </si>
  <si>
    <t>Campo Clasificación:</t>
  </si>
  <si>
    <t>Código de EDT:</t>
  </si>
  <si>
    <t>Clase:</t>
  </si>
  <si>
    <t>Tipo:</t>
  </si>
  <si>
    <t>Grupo hojas de ruta:</t>
  </si>
  <si>
    <t>Contador:</t>
  </si>
  <si>
    <t>Especialidad:</t>
  </si>
  <si>
    <t>No. OM:</t>
  </si>
  <si>
    <t>Alcance:</t>
  </si>
  <si>
    <t>Familia</t>
  </si>
  <si>
    <t>Factores de  Condiciones de Trabajo</t>
  </si>
  <si>
    <t>Factores Especiales</t>
  </si>
  <si>
    <t>Registro</t>
  </si>
  <si>
    <t>E0447479</t>
  </si>
  <si>
    <t>Estimador</t>
  </si>
  <si>
    <t>Fecha:</t>
  </si>
  <si>
    <t>Fc Planta</t>
  </si>
  <si>
    <t>Fc Taller</t>
  </si>
  <si>
    <t>OP/
SubOP</t>
  </si>
  <si>
    <t>Sop</t>
  </si>
  <si>
    <t>Psto Tbjo</t>
  </si>
  <si>
    <t>Ce.</t>
  </si>
  <si>
    <t>Ctrl</t>
  </si>
  <si>
    <t>Descripción de la Operación/Suboperación</t>
  </si>
  <si>
    <t>SAP Trabajo</t>
  </si>
  <si>
    <t>SAPUn.</t>
  </si>
  <si>
    <t>SAPN°</t>
  </si>
  <si>
    <t>Duración (solo SAP)</t>
  </si>
  <si>
    <t>RAM</t>
  </si>
  <si>
    <t xml:space="preserve">Tipo de
Manto </t>
  </si>
  <si>
    <t>Especialidad</t>
  </si>
  <si>
    <t>Fase</t>
  </si>
  <si>
    <t>Cant. Obra</t>
  </si>
  <si>
    <t xml:space="preserve">Norma </t>
  </si>
  <si>
    <t>Taller
/Campo</t>
  </si>
  <si>
    <t>HH
Norma</t>
  </si>
  <si>
    <t>HH con Factores condicion y Especiales</t>
  </si>
  <si>
    <t>Horas Hombre Directas totales</t>
  </si>
  <si>
    <t>Cantidad 
de
Recursos</t>
  </si>
  <si>
    <t xml:space="preserve">Duración </t>
  </si>
  <si>
    <t>FC1.
Altura</t>
  </si>
  <si>
    <t>FC2.
Espacios Confinados</t>
  </si>
  <si>
    <t>FC3.
Mascara MC/MF</t>
  </si>
  <si>
    <t>FC4.
Ropa Especial</t>
  </si>
  <si>
    <t>FE1.
Material</t>
  </si>
  <si>
    <t>FE2.
I.C: Fouling</t>
  </si>
  <si>
    <t>FE3.
IC.: Depósito</t>
  </si>
  <si>
    <t>FE4.
IC: AREA</t>
  </si>
  <si>
    <t>FE5.
I.C: IRIS</t>
  </si>
  <si>
    <t>FE6
LIBRE</t>
  </si>
  <si>
    <t>MPRCIB03</t>
  </si>
  <si>
    <t>M</t>
  </si>
  <si>
    <t>TBT</t>
  </si>
  <si>
    <t>INS</t>
  </si>
  <si>
    <t>Ejecución</t>
  </si>
  <si>
    <t>EA</t>
  </si>
  <si>
    <t>GRB/GRC</t>
  </si>
  <si>
    <t>Campo</t>
  </si>
  <si>
    <t>NA</t>
  </si>
  <si>
    <t>PROBAR Y ENTREGAR A OPERACIONES</t>
  </si>
  <si>
    <t>Realizar prueba de lazo</t>
  </si>
  <si>
    <t>ARCADIS</t>
  </si>
  <si>
    <t>Firmar protocolos y entregar a operaciones</t>
  </si>
  <si>
    <t>COE</t>
  </si>
  <si>
    <t>TOTAL HH NORMA + FACTORES DE CONDICION + FACTOR DE MATERIALES</t>
  </si>
  <si>
    <t>Elaboró:</t>
  </si>
  <si>
    <t>Aprobó:</t>
  </si>
  <si>
    <t>Firma:</t>
  </si>
  <si>
    <t>Nombre:</t>
  </si>
  <si>
    <t>Registro:</t>
  </si>
  <si>
    <t>Anotaciones:</t>
  </si>
  <si>
    <t>Esta plantilla aplica para los siguientes equipos:</t>
  </si>
  <si>
    <t>TAG</t>
  </si>
  <si>
    <t>OM</t>
  </si>
  <si>
    <t>Se deberá asignar en la casilla "Cant Obra" la cantidad de pares de cables a marquillar y estos tendrán una duracion de 0,1 por cada par.</t>
  </si>
  <si>
    <t>La HH norma con juicio de experto no se verá afectada por ningun factor, sea de condicion especial, de condición de trabajo ni de productividad.</t>
  </si>
  <si>
    <t>Los factores de planta y taller de esta plantilla dependerán del contratista ejecutor y deberán ser actualizados según corresponda.</t>
  </si>
  <si>
    <t>Los factores de condicion de trabajo y factores especiales de esta plantilla estan asociados a un trabajo a nivel de piso sin ninguna condicion especial, deberan asignarse los factores correspondientes según sea el caso</t>
  </si>
  <si>
    <t>Fecha</t>
  </si>
  <si>
    <t>Control de Versión</t>
  </si>
  <si>
    <t>Descripción del cambio</t>
  </si>
  <si>
    <t>V4.2</t>
  </si>
  <si>
    <t>Se incluyó norma de tubería, aislamiento y pintura; Se formuló clave de control con base a los puestos de trabajo.</t>
  </si>
  <si>
    <t>V4.3</t>
  </si>
  <si>
    <r>
      <t>* Se incluyo en las juntas las actividades de instalacion de sockolets, ramificaciones en angulo y soldaduras de sello.</t>
    </r>
    <r>
      <rPr>
        <b/>
        <sz val="11"/>
        <color theme="1"/>
        <rFont val="Calibri"/>
        <family val="2"/>
        <scheme val="minor"/>
      </rPr>
      <t xml:space="preserve"> Se arreglan las horas normas</t>
    </r>
    <r>
      <rPr>
        <sz val="11"/>
        <color theme="1"/>
        <rFont val="Calibri"/>
        <family val="2"/>
        <scheme val="minor"/>
      </rPr>
      <t xml:space="preserve"> referentes a instalacion de perlita en capas menores a 2,5"; instalacion de ramificaciones a 90°; especialidad TUB en vez de MET en herramienta Equipos; lugar de ejecucion de la tarea de manipulacion de tuberia se realiza en taller en vez de campo. Se incluye herramienta para planeacion de andamios. La preparacion de superficie para prueba de dureza se estimara con HH en vez de duracion.
*Se incluyó Macro para construir Diagrama de Gantt a nivel de operaciones
*Se Incluyó puesto de trabajo MLIMARFB para seleccionar limpieza de equipos con clave de control PM03</t>
    </r>
  </si>
  <si>
    <t>Refinería:</t>
  </si>
  <si>
    <t>Orden de Mantenimiento:</t>
  </si>
  <si>
    <t>Planta</t>
  </si>
  <si>
    <t>TAG Equipo</t>
  </si>
  <si>
    <t>Dependencia responsable</t>
  </si>
  <si>
    <t>Planeador Ecopetrol</t>
  </si>
  <si>
    <t>Descripción breve del alcance</t>
  </si>
  <si>
    <t>LISTADO DE MATERIALES COMPRADOS</t>
  </si>
  <si>
    <t>N° Ope</t>
  </si>
  <si>
    <t>Descripción Operación</t>
  </si>
  <si>
    <t>Nº reserva</t>
  </si>
  <si>
    <t>Nº pos.reserva traslado</t>
  </si>
  <si>
    <t>Material</t>
  </si>
  <si>
    <t>Texto breve de material</t>
  </si>
  <si>
    <t>Unidad base</t>
  </si>
  <si>
    <t>Cantidad</t>
  </si>
  <si>
    <t>Descripción Ampliada</t>
  </si>
  <si>
    <t>Estado
Materiales</t>
  </si>
  <si>
    <t>Observaciones</t>
  </si>
  <si>
    <t>Alcance</t>
  </si>
  <si>
    <t>Familia Equipo</t>
  </si>
  <si>
    <t xml:space="preserve">Tipo de Manto </t>
  </si>
  <si>
    <t>Disciplina</t>
  </si>
  <si>
    <t>Columna1</t>
  </si>
  <si>
    <t>Taller / Campo</t>
  </si>
  <si>
    <t>Descripción Psto Tbjo</t>
  </si>
  <si>
    <t>Clave de control Psto Tbjo</t>
  </si>
  <si>
    <t>Elaboró</t>
  </si>
  <si>
    <t>Rgistro</t>
  </si>
  <si>
    <t xml:space="preserve">Especialidad </t>
  </si>
  <si>
    <t>FE4.
AREA</t>
  </si>
  <si>
    <t>Valoracion RAM</t>
  </si>
  <si>
    <t>Estado Materiales</t>
  </si>
  <si>
    <t>Lista de operaciones</t>
  </si>
  <si>
    <t>AIS</t>
  </si>
  <si>
    <t>AISLADOR</t>
  </si>
  <si>
    <t>Taller</t>
  </si>
  <si>
    <t>MPRCCB01</t>
  </si>
  <si>
    <t>MM Civil 002</t>
  </si>
  <si>
    <t>PM02</t>
  </si>
  <si>
    <t>PM01</t>
  </si>
  <si>
    <t>m</t>
  </si>
  <si>
    <t>Alberto Correa</t>
  </si>
  <si>
    <t>E0016462</t>
  </si>
  <si>
    <t xml:space="preserve">  Estático </t>
  </si>
  <si>
    <t>Prefabricado</t>
  </si>
  <si>
    <t>N</t>
  </si>
  <si>
    <t>Bajar distrito</t>
  </si>
  <si>
    <t>MELEARFB</t>
  </si>
  <si>
    <t>Eléctrico Mm</t>
  </si>
  <si>
    <t>PM07</t>
  </si>
  <si>
    <t>U-001</t>
  </si>
  <si>
    <t>TBC</t>
  </si>
  <si>
    <t>ALB</t>
  </si>
  <si>
    <t>ALBAÑIL</t>
  </si>
  <si>
    <t>MPRCCB02</t>
  </si>
  <si>
    <t>MM Civil 107_300_037_141</t>
  </si>
  <si>
    <t>m2</t>
  </si>
  <si>
    <t>Carlos Salcedo</t>
  </si>
  <si>
    <t>E0013399</t>
  </si>
  <si>
    <t xml:space="preserve">  Eléctrico</t>
  </si>
  <si>
    <t>Alistamiento</t>
  </si>
  <si>
    <t>L</t>
  </si>
  <si>
    <t>No requerido</t>
  </si>
  <si>
    <t>MINSARFB</t>
  </si>
  <si>
    <t>Instrumentos Mm</t>
  </si>
  <si>
    <t>U-002</t>
  </si>
  <si>
    <t>DESCONECTAR SEÑAL ELECTRICA Y NEUMATICA</t>
  </si>
  <si>
    <t>AND</t>
  </si>
  <si>
    <t>ANDAMIERO</t>
  </si>
  <si>
    <t>DACE</t>
  </si>
  <si>
    <t>MPRCCB03</t>
  </si>
  <si>
    <t>MM Civil 100</t>
  </si>
  <si>
    <t>m3</t>
  </si>
  <si>
    <t>Carolina Ramirez</t>
  </si>
  <si>
    <t>E0012401</t>
  </si>
  <si>
    <t>Obsoleto</t>
  </si>
  <si>
    <t>MMECARFB</t>
  </si>
  <si>
    <t>Mecánica Mm</t>
  </si>
  <si>
    <t>U-300</t>
  </si>
  <si>
    <t>ELE</t>
  </si>
  <si>
    <t>ELECTRICISTA</t>
  </si>
  <si>
    <t>MPRCCB04</t>
  </si>
  <si>
    <t>MM Civil 111</t>
  </si>
  <si>
    <t>ft</t>
  </si>
  <si>
    <t>Cristian Montenegro</t>
  </si>
  <si>
    <t xml:space="preserve">  Mecánica </t>
  </si>
  <si>
    <t>Arrancada</t>
  </si>
  <si>
    <t>H</t>
  </si>
  <si>
    <t>Petición de borrado</t>
  </si>
  <si>
    <t>MMETARFB</t>
  </si>
  <si>
    <t>Metalmecánico Mm</t>
  </si>
  <si>
    <t>U-107</t>
  </si>
  <si>
    <t>INSTRUMENTISTA</t>
  </si>
  <si>
    <t>MPRCCB05</t>
  </si>
  <si>
    <t>MM Civil 044_106</t>
  </si>
  <si>
    <t>ft2</t>
  </si>
  <si>
    <t>Edinson Iglesias</t>
  </si>
  <si>
    <t>E0447949</t>
  </si>
  <si>
    <t>VH</t>
  </si>
  <si>
    <t>Por definición ing.</t>
  </si>
  <si>
    <t>MAYUARFB</t>
  </si>
  <si>
    <t>Ayudante Mm</t>
  </si>
  <si>
    <t>INSP</t>
  </si>
  <si>
    <t>INSPECCION</t>
  </si>
  <si>
    <t>MPRCCB06</t>
  </si>
  <si>
    <t>MM Civil 110_104_101_133_101</t>
  </si>
  <si>
    <t>ft3</t>
  </si>
  <si>
    <t>Edwin Jimenez</t>
  </si>
  <si>
    <t>E0447271</t>
  </si>
  <si>
    <t>Rep: Nuevo alcance</t>
  </si>
  <si>
    <t>MSOLARFB</t>
  </si>
  <si>
    <t>Soldador Mm</t>
  </si>
  <si>
    <t>U-108</t>
  </si>
  <si>
    <t>LIM</t>
  </si>
  <si>
    <t>LIMPIEZA EQUIPOS</t>
  </si>
  <si>
    <t>MPRCCB07</t>
  </si>
  <si>
    <t>MM Civil 108_109_115_116</t>
  </si>
  <si>
    <t>in</t>
  </si>
  <si>
    <t>Fredy Marbello</t>
  </si>
  <si>
    <t>E0443814</t>
  </si>
  <si>
    <t>Rep: OM cerrada</t>
  </si>
  <si>
    <t>MALBARFB</t>
  </si>
  <si>
    <t>Albañil Mm</t>
  </si>
  <si>
    <t>U-109</t>
  </si>
  <si>
    <t>MEC</t>
  </si>
  <si>
    <t>MECÁNICO</t>
  </si>
  <si>
    <t>MPRCCB08</t>
  </si>
  <si>
    <t>MM Civil Azufre</t>
  </si>
  <si>
    <t>mm</t>
  </si>
  <si>
    <t>Harlintong Almanza</t>
  </si>
  <si>
    <t>E0016464</t>
  </si>
  <si>
    <t>Rep: ya utilizado</t>
  </si>
  <si>
    <t>MOBRARFB</t>
  </si>
  <si>
    <t>Obrero Mm</t>
  </si>
  <si>
    <t>U-111</t>
  </si>
  <si>
    <t>MET</t>
  </si>
  <si>
    <t>METALISTA</t>
  </si>
  <si>
    <t>MPRCCB09</t>
  </si>
  <si>
    <t>MM Civil Equipo Mayor</t>
  </si>
  <si>
    <t>T</t>
  </si>
  <si>
    <t>Hoover Avellaneda</t>
  </si>
  <si>
    <t>E0012566</t>
  </si>
  <si>
    <t>Reservado</t>
  </si>
  <si>
    <t>MCHOARFB</t>
  </si>
  <si>
    <t>Chofer Mm</t>
  </si>
  <si>
    <t>U-110</t>
  </si>
  <si>
    <t>OEP</t>
  </si>
  <si>
    <t>OPERADOR EQUIPO PESADO</t>
  </si>
  <si>
    <t>MPRCCB10</t>
  </si>
  <si>
    <t>MM Civil 146</t>
  </si>
  <si>
    <t>kg</t>
  </si>
  <si>
    <t>Hugo Contreras</t>
  </si>
  <si>
    <t>E0012349</t>
  </si>
  <si>
    <t>Sin catalogar</t>
  </si>
  <si>
    <t>MOEPARFB</t>
  </si>
  <si>
    <t>Operador Equipo Pesado Mm</t>
  </si>
  <si>
    <t>U-115</t>
  </si>
  <si>
    <t>OPER</t>
  </si>
  <si>
    <t>OPERACIONES</t>
  </si>
  <si>
    <t>MPRCEB01</t>
  </si>
  <si>
    <t>MM Electricidad 002</t>
  </si>
  <si>
    <t>lb</t>
  </si>
  <si>
    <t>Mario Bayter</t>
  </si>
  <si>
    <t>E0012571</t>
  </si>
  <si>
    <t>MMAFARFB</t>
  </si>
  <si>
    <t>Herramientas Mayores Mm</t>
  </si>
  <si>
    <t>PM03</t>
  </si>
  <si>
    <t>U-116</t>
  </si>
  <si>
    <t>PIN</t>
  </si>
  <si>
    <t>PINTOR</t>
  </si>
  <si>
    <t>MPRCEB02</t>
  </si>
  <si>
    <t>MM Electricidad 107_300_037_141</t>
  </si>
  <si>
    <t>Martín Lambraño</t>
  </si>
  <si>
    <t>E0444194</t>
  </si>
  <si>
    <t>MANDARFB</t>
  </si>
  <si>
    <t>Andamiero Mm</t>
  </si>
  <si>
    <t>U-106</t>
  </si>
  <si>
    <t>QC</t>
  </si>
  <si>
    <t>CONTROL CALIDAD</t>
  </si>
  <si>
    <t>MPRCEB03</t>
  </si>
  <si>
    <t>MM Electricidad 100</t>
  </si>
  <si>
    <t>Rodrigo Ballestas</t>
  </si>
  <si>
    <t>E0444367</t>
  </si>
  <si>
    <t>MPINARFB</t>
  </si>
  <si>
    <t>Servicio Pintura</t>
  </si>
  <si>
    <t>U-131</t>
  </si>
  <si>
    <t>REF</t>
  </si>
  <si>
    <t>REFRACTARISTA</t>
  </si>
  <si>
    <t>MPRCEB04</t>
  </si>
  <si>
    <t>MM Electricidad 111</t>
  </si>
  <si>
    <t>Ronny Martínez</t>
  </si>
  <si>
    <t>E0447744</t>
  </si>
  <si>
    <t>MAISARFB</t>
  </si>
  <si>
    <t>Aislador Mm</t>
  </si>
  <si>
    <t>U-101</t>
  </si>
  <si>
    <t>SOL</t>
  </si>
  <si>
    <t>SOLDADOR</t>
  </si>
  <si>
    <t>MPRCEB05</t>
  </si>
  <si>
    <t>MM Electricidad 044_106</t>
  </si>
  <si>
    <t>RELEECOM</t>
  </si>
  <si>
    <t>Eléctrico Comunicaciones</t>
  </si>
  <si>
    <t>U-135</t>
  </si>
  <si>
    <t>MPRCEB06</t>
  </si>
  <si>
    <t>MM Electricidad 110_104_101_133_101</t>
  </si>
  <si>
    <t>RELEELAB</t>
  </si>
  <si>
    <t>Eléctrico Laboratorio</t>
  </si>
  <si>
    <t>U-136</t>
  </si>
  <si>
    <t>MINC</t>
  </si>
  <si>
    <t>Minicargador</t>
  </si>
  <si>
    <t>MPRCEB07</t>
  </si>
  <si>
    <t>MM Electricidad 108_109_115_116</t>
  </si>
  <si>
    <t>RELEEPRL</t>
  </si>
  <si>
    <t>Eléctrico Primera Línea</t>
  </si>
  <si>
    <t>U-130</t>
  </si>
  <si>
    <t>MCARG 3 TN</t>
  </si>
  <si>
    <t>Montacargas 3 Ton</t>
  </si>
  <si>
    <t>MPRCEB08</t>
  </si>
  <si>
    <t>MM Electricidad Azufre</t>
  </si>
  <si>
    <t>RELEEPVO</t>
  </si>
  <si>
    <t>Eléctrico Preventivo</t>
  </si>
  <si>
    <t>U-044</t>
  </si>
  <si>
    <t>MCARG 10 TN</t>
  </si>
  <si>
    <t>Montacargas 10 Ton</t>
  </si>
  <si>
    <t>MPRCEB09</t>
  </si>
  <si>
    <t>MM Electricidad Equipo Mayor</t>
  </si>
  <si>
    <t>RINSECRO</t>
  </si>
  <si>
    <t>Instrumentista Analítica</t>
  </si>
  <si>
    <t>U-146</t>
  </si>
  <si>
    <t>GR15</t>
  </si>
  <si>
    <t>GRUA 15 TON</t>
  </si>
  <si>
    <t>MPRCEB10</t>
  </si>
  <si>
    <t>MM Electricidad 146</t>
  </si>
  <si>
    <t>RINSEMET</t>
  </si>
  <si>
    <t>Instrumentista Metrología</t>
  </si>
  <si>
    <t>U-120</t>
  </si>
  <si>
    <t>GR40</t>
  </si>
  <si>
    <t>GRUA 40 TON</t>
  </si>
  <si>
    <t>MPRCIB01</t>
  </si>
  <si>
    <t>MM Instrumentación 002</t>
  </si>
  <si>
    <t>RINSETLL</t>
  </si>
  <si>
    <t>Instrumentista Taller</t>
  </si>
  <si>
    <t>U-123</t>
  </si>
  <si>
    <t>GR80</t>
  </si>
  <si>
    <t>GRUA 80 TON</t>
  </si>
  <si>
    <t>MPRCIB02</t>
  </si>
  <si>
    <t>MM Instrumentación 107_300_037_141</t>
  </si>
  <si>
    <t>RINSELBI</t>
  </si>
  <si>
    <t>Instrumentista Laboratorio</t>
  </si>
  <si>
    <t>U-124</t>
  </si>
  <si>
    <t>GR120</t>
  </si>
  <si>
    <t>GRUA 120 TON</t>
  </si>
  <si>
    <t>MM Instrumentación 100</t>
  </si>
  <si>
    <t>RMECEPMC</t>
  </si>
  <si>
    <t>Mecánico Preventivo</t>
  </si>
  <si>
    <t>U-031</t>
  </si>
  <si>
    <t>GR150</t>
  </si>
  <si>
    <t>GRUA 150 TON</t>
  </si>
  <si>
    <t>MPRCIB04</t>
  </si>
  <si>
    <t>MM Instrumentación 111</t>
  </si>
  <si>
    <t>RMETEPMC</t>
  </si>
  <si>
    <t>Metalmecánico Mecaánico</t>
  </si>
  <si>
    <t>CONECTAR SEÑAL ELECTRICA</t>
  </si>
  <si>
    <t>GR275</t>
  </si>
  <si>
    <t>GRUA 275 TON</t>
  </si>
  <si>
    <t>MPRCIB05</t>
  </si>
  <si>
    <t>MM Instrumentación 044_106</t>
  </si>
  <si>
    <t>RMETEPMT</t>
  </si>
  <si>
    <t>Metalmecánico Preventivo</t>
  </si>
  <si>
    <t>GR400</t>
  </si>
  <si>
    <t>GRUA 400 TON</t>
  </si>
  <si>
    <t>MPRCIB06</t>
  </si>
  <si>
    <t>MM Instrumentación 110_104_101_133_101</t>
  </si>
  <si>
    <t>RELEEMOT</t>
  </si>
  <si>
    <t>Eléctrico Motores</t>
  </si>
  <si>
    <t>GR500</t>
  </si>
  <si>
    <t>GRUA 500 TON</t>
  </si>
  <si>
    <t>MPRCIB07</t>
  </si>
  <si>
    <t>MM Instrumentación 108_109_115_116</t>
  </si>
  <si>
    <t>RELEETLL</t>
  </si>
  <si>
    <t>Eléctrico Taller</t>
  </si>
  <si>
    <t>GR600</t>
  </si>
  <si>
    <t>GRUA 600 TON</t>
  </si>
  <si>
    <t>MPRCIB08</t>
  </si>
  <si>
    <t>MM Instrumentación Azufre</t>
  </si>
  <si>
    <t>RMECEMAQ</t>
  </si>
  <si>
    <t>Mecánico Máquinas</t>
  </si>
  <si>
    <t>GR700</t>
  </si>
  <si>
    <t>GRUA 700 TON</t>
  </si>
  <si>
    <t>MPRCIB09</t>
  </si>
  <si>
    <t>MM Instrumentación Equipo Mayor</t>
  </si>
  <si>
    <t>RMECETLL</t>
  </si>
  <si>
    <t>Mecánico Taller</t>
  </si>
  <si>
    <t>GR800</t>
  </si>
  <si>
    <t>GRUA 800 TON</t>
  </si>
  <si>
    <t>MPRCIB10</t>
  </si>
  <si>
    <t>MM Instrumentación 146</t>
  </si>
  <si>
    <t>RMETEAIS</t>
  </si>
  <si>
    <t>Refractarista</t>
  </si>
  <si>
    <t>CAMGR 10 TN</t>
  </si>
  <si>
    <t>Camión-grúa de 10 Ton</t>
  </si>
  <si>
    <t>MPRCMB01</t>
  </si>
  <si>
    <t>MM Metalisteria 002</t>
  </si>
  <si>
    <t>RMETETLL</t>
  </si>
  <si>
    <t>Metalmecánico Taller</t>
  </si>
  <si>
    <t>CAMBAJ 30 TN</t>
  </si>
  <si>
    <t>Cama baja 30 Ton</t>
  </si>
  <si>
    <t>MPRCMB02</t>
  </si>
  <si>
    <t>MM Metalisteria 107_300_037_141</t>
  </si>
  <si>
    <t>RSOLETLL</t>
  </si>
  <si>
    <t>Soldador</t>
  </si>
  <si>
    <t>CAMALT 30 TN</t>
  </si>
  <si>
    <t>Cama alta 30 Ton</t>
  </si>
  <si>
    <t>MPRCMB03</t>
  </si>
  <si>
    <t>MM Metalisteria 100</t>
  </si>
  <si>
    <t>RMECEVAL</t>
  </si>
  <si>
    <t>Mecánico Válvulas</t>
  </si>
  <si>
    <t>MPRCMB04</t>
  </si>
  <si>
    <t>MM Metalisteria 111</t>
  </si>
  <si>
    <t>RMETEVAL</t>
  </si>
  <si>
    <t>Metalmecánico Válvulas</t>
  </si>
  <si>
    <t>COMP &lt; 250 CFM</t>
  </si>
  <si>
    <t xml:space="preserve">Compresor de cap 250 cfm </t>
  </si>
  <si>
    <t>MPRCMB05</t>
  </si>
  <si>
    <t>MM Metalisteria 044_106</t>
  </si>
  <si>
    <t>RMECEAUT</t>
  </si>
  <si>
    <t>Mecánico Automotor</t>
  </si>
  <si>
    <t>COMP &lt; 250 &lt; 500 CFM</t>
  </si>
  <si>
    <t xml:space="preserve">Compresor de cap &lt; 250 &lt; 500 cfm </t>
  </si>
  <si>
    <t>MPRCMB06</t>
  </si>
  <si>
    <t>MM Metalisteria 110_104_101_133_101</t>
  </si>
  <si>
    <t>ROEPEAUT</t>
  </si>
  <si>
    <t>Operador Equipo Automotor</t>
  </si>
  <si>
    <t>COMP &lt; 500 &lt; 1000 CFM</t>
  </si>
  <si>
    <t xml:space="preserve">Compresor de cap &lt; 500 &lt; 1000 cfm </t>
  </si>
  <si>
    <t>MPRCMB07</t>
  </si>
  <si>
    <t>MM Metalisteria 108_109_115_116</t>
  </si>
  <si>
    <t>RGRUEMAF</t>
  </si>
  <si>
    <t>Grua</t>
  </si>
  <si>
    <t>COMP &gt; 1000 CFM</t>
  </si>
  <si>
    <t xml:space="preserve">Compresor de cap &lt; 1000 cfm </t>
  </si>
  <si>
    <t>MPRCMB08</t>
  </si>
  <si>
    <t>MM Metalisteria Azufre</t>
  </si>
  <si>
    <t>RCPLEMAF</t>
  </si>
  <si>
    <t>Compresor Portatil</t>
  </si>
  <si>
    <t>CSUCC</t>
  </si>
  <si>
    <t>Camión de succión y presión tipo Vactor o similar</t>
  </si>
  <si>
    <t>MPRCMB09</t>
  </si>
  <si>
    <t>MM Metalisteria Equipo Mayor</t>
  </si>
  <si>
    <t>RELEAMHL</t>
  </si>
  <si>
    <t>Contrato Manholes</t>
  </si>
  <si>
    <t>CTANQ 3000 a 3600 GAL</t>
  </si>
  <si>
    <t>Carrotanque 3000 a 3600 gal</t>
  </si>
  <si>
    <t>MPRCMB10</t>
  </si>
  <si>
    <t>MM Metalisteria 146</t>
  </si>
  <si>
    <t>RELEAMOT</t>
  </si>
  <si>
    <t>Contrato Motores</t>
  </si>
  <si>
    <t>CVAC &gt; 12 M3</t>
  </si>
  <si>
    <t>Camión de Alto Vacío 12m3</t>
  </si>
  <si>
    <t>MPRCRB01</t>
  </si>
  <si>
    <t>MM Mecanico 002</t>
  </si>
  <si>
    <t>RELEAMOV</t>
  </si>
  <si>
    <t>Contrarto válvulas MOV</t>
  </si>
  <si>
    <t>CVAC 12 M3</t>
  </si>
  <si>
    <t>Camión de Vacío 12m3</t>
  </si>
  <si>
    <t>MPRCRB02</t>
  </si>
  <si>
    <t>MM Mecanico 107_300_037_141</t>
  </si>
  <si>
    <t>RELEAPGR</t>
  </si>
  <si>
    <t>Contrato Puente Grua</t>
  </si>
  <si>
    <t>FRACKT</t>
  </si>
  <si>
    <t>Frack tank</t>
  </si>
  <si>
    <t>MPRCRB03</t>
  </si>
  <si>
    <t>MM Mecanico 100</t>
  </si>
  <si>
    <t>RELEASAA</t>
  </si>
  <si>
    <t>Contrato Aire Acondicionado</t>
  </si>
  <si>
    <t>VOLQ 6 M3</t>
  </si>
  <si>
    <t>Volqueta de  6 m3</t>
  </si>
  <si>
    <t>MPRCRB04</t>
  </si>
  <si>
    <t>MM Mecanico 111</t>
  </si>
  <si>
    <t>RELEACBL</t>
  </si>
  <si>
    <t>Contrato Cables</t>
  </si>
  <si>
    <t>MPRCRB05</t>
  </si>
  <si>
    <t>MM Mecanico 044_106</t>
  </si>
  <si>
    <t>RELEATRF</t>
  </si>
  <si>
    <t>Contrato transformador</t>
  </si>
  <si>
    <t>CAMHAZ</t>
  </si>
  <si>
    <t>Extractor de haces montado sobre camión</t>
  </si>
  <si>
    <t>MPRCRB06</t>
  </si>
  <si>
    <t>MM Mecanico 110_104_101_133_101</t>
  </si>
  <si>
    <t>RELEAALM</t>
  </si>
  <si>
    <t>Contrato Alumbrado</t>
  </si>
  <si>
    <t>CWIN</t>
  </si>
  <si>
    <t>Camión winche</t>
  </si>
  <si>
    <t>MPRCRB07</t>
  </si>
  <si>
    <t>MM Mecanico 108_109_115_116</t>
  </si>
  <si>
    <t>RELEATRG</t>
  </si>
  <si>
    <t>Contrato Traicing</t>
  </si>
  <si>
    <t>CWIN 600</t>
  </si>
  <si>
    <t>Camión winche 600</t>
  </si>
  <si>
    <t>MPRCRB08</t>
  </si>
  <si>
    <t>MM Mecanico Azufre</t>
  </si>
  <si>
    <t>RINSATEL</t>
  </si>
  <si>
    <t>Contrato Telemetría</t>
  </si>
  <si>
    <t>EXTHAZ</t>
  </si>
  <si>
    <t xml:space="preserve">Extractor de haces aéreo hasta 26 pies </t>
  </si>
  <si>
    <t>MPRCRB09</t>
  </si>
  <si>
    <t>MM Mecanico Equipo Mayor</t>
  </si>
  <si>
    <t>RMETAAIS</t>
  </si>
  <si>
    <t>Contrato Aislamiento</t>
  </si>
  <si>
    <t>EXTUBH</t>
  </si>
  <si>
    <t>Extractor de tubos de hornos</t>
  </si>
  <si>
    <t>MPRCRB10</t>
  </si>
  <si>
    <t>MM Mecanico 146</t>
  </si>
  <si>
    <t>RMETAAND</t>
  </si>
  <si>
    <t>Contrato Andamio</t>
  </si>
  <si>
    <t>MPRCRB11</t>
  </si>
  <si>
    <t>MM Obras Civiles</t>
  </si>
  <si>
    <t>RMETABAX</t>
  </si>
  <si>
    <t>Contrato Bauxita</t>
  </si>
  <si>
    <t>AIRLESS</t>
  </si>
  <si>
    <t>Equipo Airless</t>
  </si>
  <si>
    <t>PLFINC01</t>
  </si>
  <si>
    <t>Planeador FINCI MET</t>
  </si>
  <si>
    <t>RMETACLR</t>
  </si>
  <si>
    <t>Contrato Clarificadores</t>
  </si>
  <si>
    <t>SPJET</t>
  </si>
  <si>
    <t>Equipo de Sponge jet o similar</t>
  </si>
  <si>
    <t>PLFINC02</t>
  </si>
  <si>
    <t>Planeador FINCI ELE</t>
  </si>
  <si>
    <t>RMETATAQ</t>
  </si>
  <si>
    <t>Contrato Tanques</t>
  </si>
  <si>
    <t>HIDR 5000 &lt; 15000 PSIG</t>
  </si>
  <si>
    <t>Hidrolavadora de cap 5.000 ≤ PSI ≤ 15.000</t>
  </si>
  <si>
    <t>PLFINC03</t>
  </si>
  <si>
    <t>Planeador FINCI INS</t>
  </si>
  <si>
    <t>RMETATUB</t>
  </si>
  <si>
    <t>Contrato Bancos Tubería</t>
  </si>
  <si>
    <t>HIDR 15000 &lt; 20000 PSIG</t>
  </si>
  <si>
    <t>Hidrolavadora de cap 15.000 ≤ PSI ≤ 20.000</t>
  </si>
  <si>
    <t>PLFINC04</t>
  </si>
  <si>
    <t>Planeador FINCI MEC</t>
  </si>
  <si>
    <t>RMECAATL</t>
  </si>
  <si>
    <t>Contrato Atlas Copco</t>
  </si>
  <si>
    <t>HIDR 20000 &lt; 25000 PSIG</t>
  </si>
  <si>
    <t>Hidrolavadora de cap 20.000 &lt; PSI ≤ 25.000</t>
  </si>
  <si>
    <t>PLRCCB01</t>
  </si>
  <si>
    <t>Planeadores Contratos</t>
  </si>
  <si>
    <t>RMECACHL</t>
  </si>
  <si>
    <t>Contrato Chiller</t>
  </si>
  <si>
    <t>HIDR 25000 &lt; 30000 PSIG</t>
  </si>
  <si>
    <t>Hidrolavadora de cap 25.000 &lt; PSI ≤ 30.000</t>
  </si>
  <si>
    <t>PLRCEB01</t>
  </si>
  <si>
    <t>Planeadores Electricidad</t>
  </si>
  <si>
    <t>RMECADSH</t>
  </si>
  <si>
    <t>Contrato Desholliandores</t>
  </si>
  <si>
    <t>PLRCIB01</t>
  </si>
  <si>
    <t>Planeadores Instrumentación</t>
  </si>
  <si>
    <t>RMETALMP</t>
  </si>
  <si>
    <t>Contrato limpieza</t>
  </si>
  <si>
    <t>EAFRES 2 PER</t>
  </si>
  <si>
    <t>Equipo aire Respirable grado D</t>
  </si>
  <si>
    <t>PLRCMB01</t>
  </si>
  <si>
    <t>Planeadores Metalisteria</t>
  </si>
  <si>
    <t>RMETAINT</t>
  </si>
  <si>
    <t>Contrato intercambiadores</t>
  </si>
  <si>
    <t>EAFRES 4 PER</t>
  </si>
  <si>
    <t>PLRCRB01</t>
  </si>
  <si>
    <t>Planeadores Mecanico</t>
  </si>
  <si>
    <t>RMETACIV</t>
  </si>
  <si>
    <t>Contrato Civil</t>
  </si>
  <si>
    <t>PRGRPGEN</t>
  </si>
  <si>
    <t>Programador de Mantenimiento</t>
  </si>
  <si>
    <t>IELEERFB</t>
  </si>
  <si>
    <t>Confiabilidad Eléctrico</t>
  </si>
  <si>
    <t>PM04</t>
  </si>
  <si>
    <t>MLIFT n.e. 15 M</t>
  </si>
  <si>
    <t>MANLIFT Plataforma articulada 15m</t>
  </si>
  <si>
    <t>RAACEGEN</t>
  </si>
  <si>
    <t>Mantenimiento HVAC/AA aliado</t>
  </si>
  <si>
    <t>IINSERFB</t>
  </si>
  <si>
    <t>Confiabilidad Instrumentos</t>
  </si>
  <si>
    <t>MLIFT  &gt; 15 M</t>
  </si>
  <si>
    <t>MANLIFT Plataforma articulada &gt; 15m</t>
  </si>
  <si>
    <t>RANCMGEN</t>
  </si>
  <si>
    <t>Facilidades Andamios aliado</t>
  </si>
  <si>
    <t>IMECERFB</t>
  </si>
  <si>
    <t>Confiabilidad Equipos Rotativo</t>
  </si>
  <si>
    <t>MLIFT  &gt; 20 M</t>
  </si>
  <si>
    <t>MANLIFT Plataforma articulada &gt; 20m</t>
  </si>
  <si>
    <t>RCICMGEN</t>
  </si>
  <si>
    <t>Mantenimiento Civil Aliado</t>
  </si>
  <si>
    <t>IMETERFB</t>
  </si>
  <si>
    <t>Confiabildiad Equipo Estático</t>
  </si>
  <si>
    <t>MLIFT  &gt; 25 M</t>
  </si>
  <si>
    <t>MANLIFT Plataforma articulada &gt; 25m</t>
  </si>
  <si>
    <t>RCOCAGEN</t>
  </si>
  <si>
    <t>Aislamiento Térmico Aliado</t>
  </si>
  <si>
    <t>OOPEARFB</t>
  </si>
  <si>
    <t>Operador Planta</t>
  </si>
  <si>
    <t>MTEL 5 TN</t>
  </si>
  <si>
    <t>Manipulador Telescopico</t>
  </si>
  <si>
    <t>RCOCEGEN</t>
  </si>
  <si>
    <t>Electricista Plantas Aliado</t>
  </si>
  <si>
    <t>MTIJ n.e. 9 M</t>
  </si>
  <si>
    <t>Elevador de tijera &lt; 9m</t>
  </si>
  <si>
    <t>RCOCIGEN</t>
  </si>
  <si>
    <t>Instrumentista Plantas aliado</t>
  </si>
  <si>
    <t>ASC 10 PER</t>
  </si>
  <si>
    <t xml:space="preserve">Ascensor capacidad 1 Ton </t>
  </si>
  <si>
    <t>RCOCMGEN</t>
  </si>
  <si>
    <t>Metalista Plantas Aliado</t>
  </si>
  <si>
    <t>RCOCRGEN</t>
  </si>
  <si>
    <t>Mecanico Rotativo Plantas Aliado</t>
  </si>
  <si>
    <t>RCOCSGEN</t>
  </si>
  <si>
    <t>Soldador Plantas Aliado</t>
  </si>
  <si>
    <t>RCOPEGEN</t>
  </si>
  <si>
    <t>Electricista Plantas</t>
  </si>
  <si>
    <t>RCOPETLL</t>
  </si>
  <si>
    <t>Taller Electricidad</t>
  </si>
  <si>
    <t>RCOPETUR</t>
  </si>
  <si>
    <t>Electricista de turno</t>
  </si>
  <si>
    <t>RCOPIGEN</t>
  </si>
  <si>
    <t>Instrumentista Plantas</t>
  </si>
  <si>
    <t>RCOPITLL</t>
  </si>
  <si>
    <t>Taller Instrumentación</t>
  </si>
  <si>
    <t>RCOPITUR</t>
  </si>
  <si>
    <t>Instrumentista de Turno</t>
  </si>
  <si>
    <t>RCOPMGEN</t>
  </si>
  <si>
    <t>Metalista Plantas</t>
  </si>
  <si>
    <t>RCOPMTLL</t>
  </si>
  <si>
    <t>Taller Mecanico Metalisteria</t>
  </si>
  <si>
    <t>RCOPMTUR</t>
  </si>
  <si>
    <t>Metalista de Turno</t>
  </si>
  <si>
    <t>RCOPRGEN</t>
  </si>
  <si>
    <t>Mecanico Rotativo Plantas</t>
  </si>
  <si>
    <t>RCOPRTLL</t>
  </si>
  <si>
    <t>Taller Mecanico Rotativo</t>
  </si>
  <si>
    <t>RCOPRTUR</t>
  </si>
  <si>
    <t>Rotativo de Turno</t>
  </si>
  <si>
    <t>RCOPSGEN</t>
  </si>
  <si>
    <t>Soldador Taller</t>
  </si>
  <si>
    <t>REPCMGEN</t>
  </si>
  <si>
    <t>Frente Equipo Pesado aliado</t>
  </si>
  <si>
    <t>REPPMGEN</t>
  </si>
  <si>
    <t>Frente Equipo Pesado</t>
  </si>
  <si>
    <t>RESCIGEN</t>
  </si>
  <si>
    <t>Especialista Aliado I&amp;C</t>
  </si>
  <si>
    <t>RINCEGEN</t>
  </si>
  <si>
    <t>Electrico Confiabilidad Aliado</t>
  </si>
  <si>
    <t>RINCIGEN</t>
  </si>
  <si>
    <t>Instrumentos Confiabilidad Aliado</t>
  </si>
  <si>
    <t>RINCMGEN</t>
  </si>
  <si>
    <t>Metalmecanico Confiabilidad Aliado</t>
  </si>
  <si>
    <t>RINCRGEN</t>
  </si>
  <si>
    <t>Mecanico Rotativo Confiabilidad Aliado</t>
  </si>
  <si>
    <t>RINECGEN</t>
  </si>
  <si>
    <t>Civil Confiabilidad</t>
  </si>
  <si>
    <t>RINEEGEN</t>
  </si>
  <si>
    <t>Electrico Confiabilidad</t>
  </si>
  <si>
    <t>RINEIGEN</t>
  </si>
  <si>
    <t>Instrumentos Confiabilidad</t>
  </si>
  <si>
    <t>RINEMGEN</t>
  </si>
  <si>
    <t>Metalmecanico Confiabilidad</t>
  </si>
  <si>
    <t>RINERGEN</t>
  </si>
  <si>
    <t>Mecanico Rotativo Confiabilidad</t>
  </si>
  <si>
    <t>RPRCAGEN</t>
  </si>
  <si>
    <t>Preventivo Aislamiento Aliado</t>
  </si>
  <si>
    <t>RPRCEGEN</t>
  </si>
  <si>
    <t>Preventivo Electricidad Aliado</t>
  </si>
  <si>
    <t>RPRCIGEN</t>
  </si>
  <si>
    <t>Preventivo Instrumentación aliado</t>
  </si>
  <si>
    <t>RPRCMGEN</t>
  </si>
  <si>
    <t>Preventivo Estático Aliado</t>
  </si>
  <si>
    <t>RPRCRGEN</t>
  </si>
  <si>
    <t>Preventivo Mecanico Rotativo Aliado</t>
  </si>
  <si>
    <t>RPRPEGEN</t>
  </si>
  <si>
    <t>Preventivo Electricidad</t>
  </si>
  <si>
    <t>RPRPIGEN</t>
  </si>
  <si>
    <t>Preventivo Instrumentación</t>
  </si>
  <si>
    <t>RPRPMGEN</t>
  </si>
  <si>
    <t>Preventivo Estatico</t>
  </si>
  <si>
    <t>RPRPMVSG</t>
  </si>
  <si>
    <t>Preventivo Válvulas de Seguridad</t>
  </si>
  <si>
    <t>RPRPRGEN</t>
  </si>
  <si>
    <t>Preventivo Mecanico Rotativo</t>
  </si>
  <si>
    <t>RSECAGEN</t>
  </si>
  <si>
    <t>Servicio Contratado Aislamiento</t>
  </si>
  <si>
    <t>RSECCGEN</t>
  </si>
  <si>
    <t>Servicio Contratado Civil</t>
  </si>
  <si>
    <t>RSECEGEN</t>
  </si>
  <si>
    <t>Servicio Contratado Electricidad</t>
  </si>
  <si>
    <t>RSECIGEN</t>
  </si>
  <si>
    <t>Servicio Contratado Instrumentación</t>
  </si>
  <si>
    <t>RSECMGEN</t>
  </si>
  <si>
    <t>Servicio Contratado Metalisteria</t>
  </si>
  <si>
    <t>RSECNGEN</t>
  </si>
  <si>
    <t>Servicio Contratado Andamio</t>
  </si>
  <si>
    <t>RSECRGEN</t>
  </si>
  <si>
    <t>Servicio Contratado Rotativo</t>
  </si>
  <si>
    <t>RSECUGEN</t>
  </si>
  <si>
    <t>Servicio Contratado Utilitario</t>
  </si>
  <si>
    <t>RCOCETLL</t>
  </si>
  <si>
    <t>Taller Externo Electricidad</t>
  </si>
  <si>
    <t>RCOCITLL</t>
  </si>
  <si>
    <t>Taller Externo Instrumentación</t>
  </si>
  <si>
    <t>RCOCMTLL</t>
  </si>
  <si>
    <t>Taller Externo Mecanico Estatico</t>
  </si>
  <si>
    <t>RCOCRTLL</t>
  </si>
  <si>
    <t>Taller Externo Mecanico Rotativo</t>
  </si>
  <si>
    <t>RCOCUTLL</t>
  </si>
  <si>
    <t>Taller Mecanico Automotriz Aliado</t>
  </si>
  <si>
    <t>TUBERIA EN TALLER</t>
  </si>
  <si>
    <t>TUBERIA EN CAMPO</t>
  </si>
  <si>
    <t>BUTT WELD // TALLER</t>
  </si>
  <si>
    <t>SCH.10</t>
  </si>
  <si>
    <t>SCH.20</t>
  </si>
  <si>
    <t>SCH.30</t>
  </si>
  <si>
    <t>SCH.STD</t>
  </si>
  <si>
    <t>SCH.40</t>
  </si>
  <si>
    <t>SCH.60</t>
  </si>
  <si>
    <t>SCH.XS</t>
  </si>
  <si>
    <t>SCH.80</t>
  </si>
  <si>
    <t>SCH.100</t>
  </si>
  <si>
    <t>SCH.120</t>
  </si>
  <si>
    <t>SCH.140</t>
  </si>
  <si>
    <t>SCH.160</t>
  </si>
  <si>
    <t>SCH.XXS</t>
  </si>
  <si>
    <t>BUTT WELD // CAMPO</t>
  </si>
  <si>
    <t>0.5</t>
  </si>
  <si>
    <t>0.75</t>
  </si>
  <si>
    <t>1.5</t>
  </si>
  <si>
    <t>2.5</t>
  </si>
  <si>
    <t>WELD NECK // TALLER</t>
  </si>
  <si>
    <t>WELD NECK // CAMPO</t>
  </si>
  <si>
    <t>WALL THK</t>
  </si>
  <si>
    <t xml:space="preserve">Square Cut (Upto 15mm thick) </t>
  </si>
  <si>
    <t xml:space="preserve">Square Cut (&gt;15mm up to 25mm thick) </t>
  </si>
  <si>
    <t xml:space="preserve">Square Cut (&gt; 25mm thick) </t>
  </si>
  <si>
    <t xml:space="preserve">Square Cold Cut (Upto 15mm thk) </t>
  </si>
  <si>
    <t xml:space="preserve">Square Cold Cut (&gt;15mm up to 25mm thk) </t>
  </si>
  <si>
    <t xml:space="preserve">Square Cold Cut (&gt;25mm thk) </t>
  </si>
  <si>
    <t>-</t>
  </si>
  <si>
    <t>SLIP-ON WELD // TALLER</t>
  </si>
  <si>
    <t>SLIP-ON WELD // CAMPO</t>
  </si>
  <si>
    <t>Fabricate</t>
  </si>
  <si>
    <t>Dummy</t>
  </si>
  <si>
    <t>Trunnion</t>
  </si>
  <si>
    <t>Install</t>
  </si>
  <si>
    <t>Ruana</t>
  </si>
  <si>
    <t>Spring Hanger</t>
  </si>
  <si>
    <t>Varilla 1/2</t>
  </si>
  <si>
    <t>Varilla 2/3</t>
  </si>
  <si>
    <t>Varilla 3/4</t>
  </si>
  <si>
    <t>Tornillo en U</t>
  </si>
  <si>
    <t>SOCKET WELD // TALLER</t>
  </si>
  <si>
    <t>SOCKET WELD // CAMPO</t>
  </si>
  <si>
    <t>Hasta 50 cm</t>
  </si>
  <si>
    <t>Hasta 1m</t>
  </si>
  <si>
    <t>SOLDAR WELDOLET // TALLER</t>
  </si>
  <si>
    <t>SOLDAR WELDOLET // CAMPO</t>
  </si>
  <si>
    <t>SOLDAR LATROLET // TALLER</t>
  </si>
  <si>
    <t>SOLDAR LATROLET // CAMPO</t>
  </si>
  <si>
    <t>SOLDAR ELBOLET // TALLER</t>
  </si>
  <si>
    <t>SOLDAR ELBOLET // CAMPO</t>
  </si>
  <si>
    <t>CORTE RECTO // TALLER</t>
  </si>
  <si>
    <t>CORTE RECTO // CAMPO</t>
  </si>
  <si>
    <t>CORTE CON ANGULO // TALLER</t>
  </si>
  <si>
    <t>CORTE CON ANGULO // CAMPO</t>
  </si>
  <si>
    <t>HACER ROSCA // TALLER</t>
  </si>
  <si>
    <t>HACER ROSCA // CAMPO</t>
  </si>
  <si>
    <t>ENROSCAR // TALLER</t>
  </si>
  <si>
    <t>ENROSCAR // CAMPO</t>
  </si>
  <si>
    <t>DESENROSCAR // TALLER</t>
  </si>
  <si>
    <t>DESENROSCAR // CAMPO</t>
  </si>
  <si>
    <t>BUTT WELD EN ANGULO // TALLER</t>
  </si>
  <si>
    <t>BUTT WELD EN ANGULO // CAMPO</t>
  </si>
  <si>
    <t>RAMIFICACION SIN RUANA // TALLER</t>
  </si>
  <si>
    <t>RAMIFICACION SIN RUANA // CAMPO</t>
  </si>
  <si>
    <t>RAMIFICACION CON RUANA // TALLER</t>
  </si>
  <si>
    <t>RAMIFICACION EN ANGULO SIN RUANA // CAMPO</t>
  </si>
  <si>
    <t>DOBLEZ // TALLER</t>
  </si>
  <si>
    <t>DOBLEZ // CAMPO</t>
  </si>
  <si>
    <t xml:space="preserve">Remove Pipe </t>
  </si>
  <si>
    <t>IZAJE TUBERIA (SOLA O SPOOLEADA &lt;6FT)</t>
  </si>
  <si>
    <t xml:space="preserve">RETIRO TUBERIA </t>
  </si>
  <si>
    <t xml:space="preserve">m </t>
  </si>
  <si>
    <t>IZAJE TUBERIA ( &lt;12 FT)</t>
  </si>
  <si>
    <t>INSTALAR VALVULAS, TRAMPAS DE VAPOR, FILTROS Y SIMILARES</t>
  </si>
  <si>
    <t xml:space="preserve">Remove Valve </t>
  </si>
  <si>
    <t xml:space="preserve">Nr </t>
  </si>
  <si>
    <t>INSTALAR VALVULA DE CONTROL O SIMILARES</t>
  </si>
  <si>
    <t xml:space="preserve">Remove Blank Flange </t>
  </si>
  <si>
    <t>INSTALAR BRIDA CIEGA</t>
  </si>
  <si>
    <t xml:space="preserve">Remove Spec Plate or Similar </t>
  </si>
  <si>
    <t>INSTALAR PLATINA CIEGA O SIMILAR</t>
  </si>
  <si>
    <t xml:space="preserve">Break Flange Joint 150 # </t>
  </si>
  <si>
    <t>ACOPLAR BRIDA #150</t>
  </si>
  <si>
    <t xml:space="preserve">Break Flange Joint 300 # </t>
  </si>
  <si>
    <t>ACOPLAR BRIDA #300</t>
  </si>
  <si>
    <t xml:space="preserve">Break Flange Joint 600 # </t>
  </si>
  <si>
    <t>ACOPLAR BRIDA #600</t>
  </si>
  <si>
    <t xml:space="preserve">Break Flange Joint 900 # </t>
  </si>
  <si>
    <t>ACOPLAR BRIDA #900</t>
  </si>
  <si>
    <t>ACOPLAR BRIDA #1500</t>
  </si>
  <si>
    <t xml:space="preserve">Break Flange Joint 1500 # </t>
  </si>
  <si>
    <t>ACOPLAR BRIDA #2500</t>
  </si>
  <si>
    <t>PH en Taller</t>
  </si>
  <si>
    <t>PH en Campo</t>
  </si>
  <si>
    <t>pyro una</t>
  </si>
  <si>
    <t>AISLAMIENTO Y CLADDING NUEVO</t>
  </si>
  <si>
    <t>Tuberia</t>
  </si>
  <si>
    <t>Codo</t>
  </si>
  <si>
    <t>Tee</t>
  </si>
  <si>
    <t>Reduccion</t>
  </si>
  <si>
    <t>Cap</t>
  </si>
  <si>
    <t>Brida</t>
  </si>
  <si>
    <t>Valvula</t>
  </si>
  <si>
    <t>Filtro</t>
  </si>
  <si>
    <t>RETIRAR Y DESHECHAR AISLAMIENTO Y CLADDING</t>
  </si>
  <si>
    <t>pyro dos</t>
  </si>
  <si>
    <t>pyro tres</t>
  </si>
  <si>
    <t>pyro cuatro</t>
  </si>
  <si>
    <t>MINERAL WOOL ESPESOR DE CAPA MENOR A 2-1/2"</t>
  </si>
  <si>
    <t>MINERAL WOOL ESPESOR DE CAPA MENOR A 4-1/2"</t>
  </si>
  <si>
    <t>MINERAL WOOL ESPESOR DE CAPA MENOR A 6"</t>
  </si>
  <si>
    <t>LIMPIEZA</t>
  </si>
  <si>
    <t>PINTURA</t>
  </si>
  <si>
    <t xml:space="preserve">(SP1) </t>
  </si>
  <si>
    <t>SP2 Clase 3</t>
  </si>
  <si>
    <t>ST3 Clase 3</t>
  </si>
  <si>
    <t>SP11</t>
  </si>
  <si>
    <t>Lavado a presión</t>
  </si>
  <si>
    <t>SP5</t>
  </si>
  <si>
    <t>SP6-SandBlast</t>
  </si>
  <si>
    <t>SP6-WetBlast</t>
  </si>
  <si>
    <t>SP7</t>
  </si>
  <si>
    <t>SP10-SandBlast</t>
  </si>
  <si>
    <t>SP10-WetBlast</t>
  </si>
  <si>
    <t>&lt;5</t>
  </si>
  <si>
    <t>&lt;10</t>
  </si>
  <si>
    <t>&lt;20</t>
  </si>
  <si>
    <t>DIAM NOM</t>
  </si>
  <si>
    <t>DIAM REAL</t>
  </si>
  <si>
    <t xml:space="preserve">Services-Pipes including Flanges </t>
  </si>
  <si>
    <t>54"</t>
  </si>
  <si>
    <t>58"</t>
  </si>
  <si>
    <t xml:space="preserve">Extra over pipework for valves: </t>
  </si>
  <si>
    <t>LA NORMA ESPECIFICA QUE VALVULAS MENORES DE 2" SERAN INCLUIDAS EN LAS HH DE TUBERIA</t>
  </si>
  <si>
    <t>Instalar Ciego</t>
  </si>
  <si>
    <t>Retirar Ciego</t>
  </si>
  <si>
    <t>Girar figura 8</t>
  </si>
  <si>
    <t>RETIRAR-INSTALAR MANWAY</t>
  </si>
  <si>
    <t xml:space="preserve">150# </t>
  </si>
  <si>
    <t xml:space="preserve">300# </t>
  </si>
  <si>
    <t xml:space="preserve">600# </t>
  </si>
  <si>
    <t xml:space="preserve">900# </t>
  </si>
  <si>
    <t xml:space="preserve">1500# </t>
  </si>
  <si>
    <t>RETIRAR-INSTALAR MANWAY CON PESCANTE</t>
  </si>
  <si>
    <t>8"</t>
  </si>
  <si>
    <t>16"</t>
  </si>
  <si>
    <t>24"</t>
  </si>
  <si>
    <t>32"</t>
  </si>
  <si>
    <t>PARTES INTERCAMBIADORES</t>
  </si>
  <si>
    <t xml:space="preserve">n,e, 0,50m </t>
  </si>
  <si>
    <t xml:space="preserve">over 0,50m n,e, 1,00m </t>
  </si>
  <si>
    <t xml:space="preserve">over 1,00m n,e, 1,50m </t>
  </si>
  <si>
    <t xml:space="preserve">over 1,50m n,e, 2,00m </t>
  </si>
  <si>
    <t xml:space="preserve">over 2,00m n,e, 2,50m </t>
  </si>
  <si>
    <t xml:space="preserve">over 2,50m n,e, 3,00m </t>
  </si>
  <si>
    <t xml:space="preserve">over 3,00m n,e, 3,50m </t>
  </si>
  <si>
    <t xml:space="preserve">over 3,50m n,e, 4,00m </t>
  </si>
  <si>
    <t>Retirar Tapa Casco</t>
  </si>
  <si>
    <t>Retirar Tapa Flotante</t>
  </si>
  <si>
    <t>Retirar Tapa Canal</t>
  </si>
  <si>
    <t>Retirar Canal</t>
  </si>
  <si>
    <t>Retirar Haz de tubos</t>
  </si>
  <si>
    <t>Retirar Haz de tubos con Extractor</t>
  </si>
  <si>
    <t>Instalar Haz de tubos</t>
  </si>
  <si>
    <t>Instalar Haz de tubos con Extractor</t>
  </si>
  <si>
    <t>Realizar prueba Hidrostatica en lado Casco</t>
  </si>
  <si>
    <t>Realizar prueba Hidrostatica en lado Casco con anillos</t>
  </si>
  <si>
    <t>Realizar prueba Hidrostatica en lado Tubos</t>
  </si>
  <si>
    <t>Instalar tapa Casco</t>
  </si>
  <si>
    <t>Instalar Tapa Flotante</t>
  </si>
  <si>
    <t>Instalar tapa Canal</t>
  </si>
  <si>
    <t>Instalar Canal</t>
  </si>
  <si>
    <t>UNBOLTING</t>
  </si>
  <si>
    <t xml:space="preserve">Up to and including 1/2 inch </t>
  </si>
  <si>
    <t xml:space="preserve">Greater than 1/2 inch up to and including 3/4 inch </t>
  </si>
  <si>
    <t xml:space="preserve">Greater than 3/4 inch up to and including 1 inch </t>
  </si>
  <si>
    <t xml:space="preserve">Greater than 1 inch up to and including 1 1/2 inch </t>
  </si>
  <si>
    <t xml:space="preserve">Greater than 1 1/2 inch up to and including 2 inch </t>
  </si>
  <si>
    <t>BOLTING</t>
  </si>
  <si>
    <t xml:space="preserve">0-12 </t>
  </si>
  <si>
    <t xml:space="preserve">13-24 </t>
  </si>
  <si>
    <t xml:space="preserve">25-36 </t>
  </si>
  <si>
    <t xml:space="preserve">37-48 </t>
  </si>
  <si>
    <t xml:space="preserve">49-60 </t>
  </si>
  <si>
    <t xml:space="preserve">61-72 </t>
  </si>
  <si>
    <t xml:space="preserve">73-84 </t>
  </si>
  <si>
    <t xml:space="preserve">85-96 </t>
  </si>
  <si>
    <t xml:space="preserve">97- 108 </t>
  </si>
  <si>
    <t xml:space="preserve">97-108 </t>
  </si>
  <si>
    <t xml:space="preserve">109- 120 </t>
  </si>
  <si>
    <t xml:space="preserve">121- 140 </t>
  </si>
  <si>
    <t xml:space="preserve">141- 160 </t>
  </si>
  <si>
    <t xml:space="preserve">161- 180 </t>
  </si>
  <si>
    <t xml:space="preserve">181- 200 </t>
  </si>
  <si>
    <t>J.2.12</t>
  </si>
  <si>
    <t>J.2.13</t>
  </si>
  <si>
    <t>INSPECCIONAR AREA DE SELLO BRIDA</t>
  </si>
  <si>
    <t>REALIZAR MTTO EN TALLER</t>
  </si>
  <si>
    <t>PINTAR INSTRUMENTO</t>
  </si>
  <si>
    <t>IZAR Y TRANSPORTAR A TALLER</t>
  </si>
  <si>
    <t>TRANSPORTAR A CAMPO E IZAR</t>
  </si>
  <si>
    <t>RETIRAR VALVULA</t>
  </si>
  <si>
    <t>INSTALAR VALVULA</t>
  </si>
  <si>
    <t>Tarea</t>
  </si>
  <si>
    <t>Descripción operación</t>
  </si>
  <si>
    <t>Predecesora</t>
  </si>
  <si>
    <t>Duración</t>
  </si>
  <si>
    <t>Valor Predecesora</t>
  </si>
  <si>
    <t>Global</t>
  </si>
  <si>
    <t>NORMA</t>
  </si>
  <si>
    <t>REFERENCIA</t>
  </si>
  <si>
    <t>INST OBJETIVO</t>
  </si>
  <si>
    <t>TODOS</t>
  </si>
  <si>
    <t>VALVULAS</t>
  </si>
  <si>
    <t>4.1.a</t>
  </si>
  <si>
    <t>HH NORMA</t>
  </si>
  <si>
    <t>INDETERM</t>
  </si>
  <si>
    <t>INDERTEM</t>
  </si>
  <si>
    <t>MAQUINAR INSTRUMENTO</t>
  </si>
  <si>
    <t>SENSORES</t>
  </si>
  <si>
    <t>2.11</t>
  </si>
  <si>
    <t>PLATINA</t>
  </si>
  <si>
    <t>TERMPOZO</t>
  </si>
  <si>
    <t>H.2.29</t>
  </si>
  <si>
    <t>H.2.27</t>
  </si>
  <si>
    <t>JUCTION BOX</t>
  </si>
  <si>
    <t>J.2.10</t>
  </si>
  <si>
    <t>J.2.11</t>
  </si>
  <si>
    <t>CONTROL</t>
  </si>
  <si>
    <t>CARTAGENA</t>
  </si>
  <si>
    <t>V4.4</t>
  </si>
  <si>
    <t xml:space="preserve">  Instrumentación</t>
  </si>
  <si>
    <t>Versión: 4.4</t>
  </si>
  <si>
    <t>Se incluyen 36 operaciones estandar de instrumentacion.
Se ajusta formato de la plantilla para firma de Docusign.
Se agrega boton para llenar encabezado de la plantilla y firmantes.
Se repara boton "Buscar OM" y "Borrar OM" y queda funcional para llenar encabezado por medio de SAP ingresando la OM.</t>
  </si>
  <si>
    <t>Aplicar soldadura a instrumento</t>
  </si>
  <si>
    <t>Conectar señal electrica</t>
  </si>
  <si>
    <t>Desconectar señal electrica</t>
  </si>
  <si>
    <t>Desconectar señal electrica y neumatica</t>
  </si>
  <si>
    <t>Fabricar e instalar lineas de impulso</t>
  </si>
  <si>
    <t>Fabricar e instalar tracing</t>
  </si>
  <si>
    <t>Inspeccionar area de sello brida</t>
  </si>
  <si>
    <t>Inspeccionar platina</t>
  </si>
  <si>
    <t>Instalar aislamiento termico</t>
  </si>
  <si>
    <t>Instalar andamio</t>
  </si>
  <si>
    <t>Instalar instrumento</t>
  </si>
  <si>
    <t>Instalar platina</t>
  </si>
  <si>
    <t>Instalar termopozo</t>
  </si>
  <si>
    <t>Izar y transportar a taller</t>
  </si>
  <si>
    <t>Maquinar instrumento</t>
  </si>
  <si>
    <t>Medir desplazamiento axial</t>
  </si>
  <si>
    <t>Parametrizar instrumento en campo</t>
  </si>
  <si>
    <t>Pintar instrumento</t>
  </si>
  <si>
    <t>Probar y entregar a operaciones</t>
  </si>
  <si>
    <t>Realizar curva de calibracion</t>
  </si>
  <si>
    <t>Realizar mtto instrumento</t>
  </si>
  <si>
    <t>Realizar mtto juction box</t>
  </si>
  <si>
    <t>Realizar mtto sistema control avanzado</t>
  </si>
  <si>
    <t>Retirar andamio</t>
  </si>
  <si>
    <t>Retirar e instalar instrumento</t>
  </si>
  <si>
    <t>Retirar instrumento</t>
  </si>
  <si>
    <t>Retirar lineas de impulso</t>
  </si>
  <si>
    <t>Retirar platina</t>
  </si>
  <si>
    <t>Retirar termopozo</t>
  </si>
  <si>
    <t>Retirar tracing</t>
  </si>
  <si>
    <t>Retirar y almacenar aislamiento termico</t>
  </si>
  <si>
    <t>Transportar a campo e izar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</si>
</sst>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2]\ #,##0.00_);[Red]\([$€-2]\ #,##0.00\)"/>
    <numFmt numFmtId="165" formatCode="0.0"/>
    <numFmt numFmtId="166" formatCode="#,##0_);[Red]\(#,##0\)"/>
    <numFmt numFmtId="167" formatCode="0.000"/>
  </numFmts>
  <fonts count="47"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8"/>
      <color theme="1"/>
      <name val="Arial"/>
      <family val="2"/>
    </font>
    <font>
      <sz val="10"/>
      <color theme="1"/>
      <name val="Calibri"/>
      <family val="2"/>
      <scheme val="minor"/>
    </font>
    <font>
      <b/>
      <sz val="10"/>
      <color theme="0"/>
      <name val="Calibri"/>
      <family val="2"/>
      <scheme val="minor"/>
    </font>
    <font>
      <b/>
      <sz val="9"/>
      <color indexed="81"/>
      <name val="Tahoma"/>
      <family val="2"/>
    </font>
    <font>
      <sz val="9"/>
      <color indexed="81"/>
      <name val="Tahoma"/>
      <family val="2"/>
    </font>
    <font>
      <sz val="11"/>
      <name val="Calibri"/>
      <family val="2"/>
      <scheme val="minor"/>
    </font>
    <font>
      <b/>
      <sz val="11"/>
      <name val="Calibri"/>
      <family val="2"/>
      <scheme val="minor"/>
    </font>
    <font>
      <sz val="11"/>
      <color rgb="FF000000"/>
      <name val="Calibri"/>
      <family val="2"/>
      <scheme val="minor"/>
    </font>
    <font>
      <b/>
      <sz val="10"/>
      <name val="Arial"/>
      <family val="2"/>
    </font>
    <font>
      <b/>
      <sz val="11"/>
      <color theme="1"/>
      <name val="Calibri Light"/>
      <family val="2"/>
      <scheme val="major"/>
    </font>
    <font>
      <b/>
      <sz val="9"/>
      <color theme="1"/>
      <name val="Calibri Light"/>
      <family val="2"/>
      <scheme val="major"/>
    </font>
    <font>
      <sz val="9"/>
      <color theme="1"/>
      <name val="Calibri Light"/>
      <family val="2"/>
      <scheme val="major"/>
    </font>
    <font>
      <sz val="9"/>
      <color rgb="FF000000"/>
      <name val="Calibri Light"/>
      <family val="2"/>
      <scheme val="major"/>
    </font>
    <font>
      <b/>
      <sz val="9"/>
      <color rgb="FF000000"/>
      <name val="Calibri Light"/>
      <family val="2"/>
      <scheme val="major"/>
    </font>
    <font>
      <sz val="7.5"/>
      <name val="Arial"/>
      <family val="2"/>
    </font>
    <font>
      <sz val="7.5"/>
      <color rgb="FF000000"/>
      <name val="Arial"/>
      <family val="2"/>
    </font>
    <font>
      <sz val="8.5"/>
      <color theme="1"/>
      <name val="Arial"/>
      <family val="2"/>
    </font>
    <font>
      <sz val="8"/>
      <color theme="1"/>
      <name val="Calibri Light"/>
      <family val="2"/>
      <scheme val="major"/>
    </font>
    <font>
      <b/>
      <sz val="20"/>
      <color theme="1"/>
      <name val="Calibri"/>
      <family val="2"/>
      <scheme val="minor"/>
    </font>
    <font>
      <b/>
      <sz val="11"/>
      <color rgb="FF000000"/>
      <name val="Arial"/>
      <family val="2"/>
    </font>
    <font>
      <sz val="9.5"/>
      <color rgb="FF000000"/>
      <name val="Arial"/>
      <family val="2"/>
    </font>
    <font>
      <sz val="9.5"/>
      <color theme="5" tint="-0.249977111117893"/>
      <name val="Arial"/>
      <family val="2"/>
    </font>
    <font>
      <b/>
      <sz val="10"/>
      <color rgb="FF000000"/>
      <name val="Calibri"/>
      <family val="2"/>
    </font>
    <font>
      <b/>
      <sz val="9.5"/>
      <color rgb="FF000000"/>
      <name val="Calibri"/>
      <family val="2"/>
      <scheme val="minor"/>
    </font>
    <font>
      <sz val="9.5"/>
      <color rgb="FF000000"/>
      <name val="Calibri"/>
      <family val="2"/>
      <scheme val="minor"/>
    </font>
    <font>
      <sz val="10"/>
      <color rgb="FF000000"/>
      <name val="Calibri"/>
      <family val="2"/>
    </font>
    <font>
      <sz val="10"/>
      <color rgb="FF000000"/>
      <name val="Calibri"/>
      <family val="2"/>
      <scheme val="minor"/>
    </font>
    <font>
      <u val="double"/>
      <sz val="10"/>
      <color rgb="FF000000"/>
      <name val="Calibri"/>
      <family val="2"/>
    </font>
    <font>
      <u val="double"/>
      <sz val="10"/>
      <color rgb="FF000000"/>
      <name val="Calibri"/>
      <family val="2"/>
      <scheme val="minor"/>
    </font>
    <font>
      <u val="double"/>
      <sz val="11"/>
      <color theme="1"/>
      <name val="Calibri"/>
      <family val="2"/>
      <scheme val="minor"/>
    </font>
    <font>
      <u val="double"/>
      <sz val="9.5"/>
      <color rgb="FF000000"/>
      <name val="Calibri"/>
      <family val="2"/>
      <scheme val="minor"/>
    </font>
    <font>
      <sz val="8.5"/>
      <color rgb="FF000000"/>
      <name val="Arial"/>
      <family val="2"/>
    </font>
    <font>
      <b/>
      <sz val="9.5"/>
      <color rgb="FF000000"/>
      <name val="Arial"/>
      <family val="2"/>
    </font>
    <font>
      <sz val="9"/>
      <color rgb="FF000000"/>
      <name val="Arial"/>
      <family val="2"/>
    </font>
    <font>
      <b/>
      <sz val="10"/>
      <color rgb="FF000000"/>
      <name val="Arial"/>
      <family val="2"/>
    </font>
    <font>
      <b/>
      <sz val="10"/>
      <color theme="1"/>
      <name val="Calibri"/>
      <family val="2"/>
      <scheme val="minor"/>
    </font>
    <font>
      <b/>
      <sz val="10"/>
      <color rgb="FF41434B"/>
      <name val="Courier New"/>
      <family val="3"/>
    </font>
    <font>
      <sz val="10"/>
      <color rgb="FF41434B"/>
      <name val="Courier New"/>
      <family val="3"/>
    </font>
    <font>
      <b/>
      <sz val="8.5"/>
      <color rgb="FF000000"/>
      <name val="Arial"/>
      <family val="2"/>
    </font>
    <font>
      <sz val="8"/>
      <color theme="1"/>
      <name val="Calibri"/>
      <family val="2"/>
      <scheme val="minor"/>
    </font>
    <font>
      <sz val="16"/>
      <color theme="1"/>
      <name val="Calibri"/>
      <family val="2"/>
      <scheme val="minor"/>
    </font>
    <font>
      <b/>
      <sz val="26"/>
      <color theme="1"/>
      <name val="Calibri"/>
      <family val="2"/>
      <scheme val="minor"/>
    </font>
  </fonts>
  <fills count="22">
    <fill>
      <patternFill patternType="none"/>
    </fill>
    <fill>
      <patternFill patternType="gray125"/>
    </fill>
    <fill>
      <patternFill patternType="solid">
        <fgColor theme="4"/>
        <bgColor theme="4"/>
      </patternFill>
    </fill>
    <fill>
      <patternFill patternType="solid">
        <fgColor rgb="FF00B050"/>
        <bgColor indexed="64"/>
      </patternFill>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rgb="FFC9D200"/>
        <bgColor indexed="64"/>
      </patternFill>
    </fill>
    <fill>
      <patternFill patternType="solid">
        <fgColor rgb="FFCBD300"/>
        <bgColor indexed="64"/>
      </patternFill>
    </fill>
    <fill>
      <patternFill patternType="solid">
        <fgColor rgb="FFB8DC10"/>
        <bgColor indexed="64"/>
      </patternFill>
    </fill>
    <fill>
      <patternFill patternType="solid">
        <fgColor theme="1"/>
        <bgColor indexed="64"/>
      </patternFill>
    </fill>
    <fill>
      <patternFill patternType="solid">
        <fgColor rgb="FF0070C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79998168889431442"/>
        <bgColor indexed="64"/>
      </patternFill>
    </fill>
  </fills>
  <borders count="5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bottom style="hair">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diagonal/>
    </border>
    <border>
      <left style="hair">
        <color indexed="64"/>
      </left>
      <right style="hair">
        <color indexed="64"/>
      </right>
      <top/>
      <bottom style="hair">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bottom/>
      <diagonal/>
    </border>
    <border>
      <left/>
      <right style="thin">
        <color indexed="64"/>
      </right>
      <top/>
      <bottom style="hair">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hair">
        <color indexed="64"/>
      </left>
      <right style="hair">
        <color indexed="64"/>
      </right>
      <top/>
      <bottom/>
      <diagonal/>
    </border>
  </borders>
  <cellStyleXfs count="2">
    <xf numFmtId="0" fontId="0" fillId="0" borderId="0"/>
    <xf numFmtId="164" fontId="1" fillId="0" borderId="0"/>
  </cellStyleXfs>
  <cellXfs count="319">
    <xf numFmtId="0" fontId="0" fillId="0" borderId="0" xfId="0"/>
    <xf numFmtId="0" fontId="2" fillId="2" borderId="1" xfId="0" applyFont="1" applyFill="1" applyBorder="1" applyAlignment="1">
      <alignment horizontal="center" vertical="center" wrapText="1"/>
    </xf>
    <xf numFmtId="0" fontId="2" fillId="2" borderId="0" xfId="0" applyFont="1" applyFill="1" applyAlignment="1">
      <alignment horizontal="center" vertical="center" wrapText="1"/>
    </xf>
    <xf numFmtId="0" fontId="0" fillId="0" borderId="0" xfId="0" applyAlignment="1">
      <alignment horizontal="center" vertical="center" wrapText="1"/>
    </xf>
    <xf numFmtId="0" fontId="5" fillId="0" borderId="2" xfId="0" applyFont="1" applyBorder="1" applyAlignment="1" applyProtection="1">
      <alignment horizontal="center" vertical="center" wrapText="1"/>
      <protection locked="0"/>
    </xf>
    <xf numFmtId="38" fontId="6" fillId="0" borderId="3" xfId="1" applyNumberFormat="1" applyFont="1" applyBorder="1" applyAlignment="1">
      <alignment horizontal="center" vertical="center" wrapText="1"/>
    </xf>
    <xf numFmtId="38" fontId="6" fillId="3" borderId="3" xfId="1" applyNumberFormat="1" applyFont="1" applyFill="1" applyBorder="1" applyAlignment="1">
      <alignment horizontal="center" vertical="center" wrapText="1"/>
    </xf>
    <xf numFmtId="165" fontId="5" fillId="3" borderId="0" xfId="0" applyNumberFormat="1" applyFont="1" applyFill="1" applyAlignment="1" applyProtection="1">
      <alignment horizontal="center" vertical="center" wrapText="1"/>
      <protection locked="0"/>
    </xf>
    <xf numFmtId="38" fontId="7" fillId="3" borderId="4" xfId="1" applyNumberFormat="1" applyFont="1" applyFill="1" applyBorder="1" applyAlignment="1">
      <alignment horizontal="center" vertical="center" wrapText="1"/>
    </xf>
    <xf numFmtId="38" fontId="7" fillId="3" borderId="3" xfId="1" applyNumberFormat="1" applyFont="1" applyFill="1" applyBorder="1" applyAlignment="1">
      <alignment horizontal="center" vertical="center" wrapText="1"/>
    </xf>
    <xf numFmtId="0" fontId="0" fillId="0" borderId="0" xfId="0" applyAlignment="1">
      <alignment horizontal="left"/>
    </xf>
    <xf numFmtId="38" fontId="6" fillId="0" borderId="3" xfId="1" applyNumberFormat="1" applyFont="1" applyBorder="1" applyAlignment="1">
      <alignment horizontal="left" vertical="center"/>
    </xf>
    <xf numFmtId="49" fontId="6" fillId="0" borderId="3" xfId="1" applyNumberFormat="1" applyFont="1" applyBorder="1" applyAlignment="1">
      <alignment horizontal="center" vertical="center" wrapText="1"/>
    </xf>
    <xf numFmtId="166" fontId="6" fillId="0" borderId="3" xfId="1" applyNumberFormat="1" applyFont="1" applyBorder="1" applyAlignment="1">
      <alignment horizontal="left" vertical="center"/>
    </xf>
    <xf numFmtId="2" fontId="0" fillId="0" borderId="0" xfId="0" applyNumberFormat="1"/>
    <xf numFmtId="0" fontId="0" fillId="0" borderId="1" xfId="0" applyBorder="1" applyAlignment="1">
      <alignment horizontal="left"/>
    </xf>
    <xf numFmtId="38" fontId="6" fillId="0" borderId="5" xfId="1" applyNumberFormat="1" applyFont="1" applyBorder="1" applyAlignment="1">
      <alignment horizontal="left" vertical="center"/>
    </xf>
    <xf numFmtId="166" fontId="6" fillId="0" borderId="5" xfId="1" applyNumberFormat="1" applyFont="1" applyBorder="1" applyAlignment="1">
      <alignment horizontal="left" vertical="center"/>
    </xf>
    <xf numFmtId="166" fontId="6" fillId="0" borderId="3" xfId="1" applyNumberFormat="1" applyFont="1" applyBorder="1" applyAlignment="1">
      <alignment horizontal="center" vertical="center" wrapText="1"/>
    </xf>
    <xf numFmtId="166" fontId="6" fillId="0" borderId="5" xfId="1" applyNumberFormat="1" applyFont="1" applyBorder="1" applyAlignment="1">
      <alignment horizontal="center" vertical="center" wrapText="1"/>
    </xf>
    <xf numFmtId="0" fontId="0" fillId="0" borderId="0" xfId="0" applyProtection="1">
      <protection locked="0" hidden="1"/>
    </xf>
    <xf numFmtId="0" fontId="4" fillId="4" borderId="13" xfId="0" applyFont="1" applyFill="1" applyBorder="1" applyAlignment="1">
      <alignment horizontal="left" vertical="center"/>
    </xf>
    <xf numFmtId="0" fontId="4" fillId="4" borderId="15" xfId="0" applyFont="1" applyFill="1" applyBorder="1" applyAlignment="1">
      <alignment vertical="center"/>
    </xf>
    <xf numFmtId="0" fontId="4" fillId="5" borderId="0" xfId="0" applyFont="1" applyFill="1" applyAlignment="1" applyProtection="1">
      <alignment vertical="center"/>
      <protection locked="0"/>
    </xf>
    <xf numFmtId="0" fontId="4" fillId="5" borderId="16" xfId="0" applyFont="1" applyFill="1" applyBorder="1" applyAlignment="1" applyProtection="1">
      <alignment vertical="center"/>
      <protection locked="0"/>
    </xf>
    <xf numFmtId="0" fontId="0" fillId="0" borderId="0" xfId="0" applyAlignment="1" applyProtection="1">
      <alignment vertical="center"/>
      <protection locked="0" hidden="1"/>
    </xf>
    <xf numFmtId="0" fontId="4" fillId="4" borderId="18" xfId="0" applyFont="1" applyFill="1" applyBorder="1" applyAlignment="1">
      <alignment horizontal="left" vertical="center"/>
    </xf>
    <xf numFmtId="0" fontId="4" fillId="4" borderId="15" xfId="0" applyFont="1" applyFill="1" applyBorder="1" applyAlignment="1">
      <alignment horizontal="left" vertical="center"/>
    </xf>
    <xf numFmtId="0" fontId="4" fillId="4" borderId="16" xfId="0" applyFont="1" applyFill="1" applyBorder="1" applyAlignment="1">
      <alignment vertical="center"/>
    </xf>
    <xf numFmtId="0" fontId="4" fillId="4" borderId="16" xfId="0" applyFont="1" applyFill="1" applyBorder="1" applyAlignment="1">
      <alignment horizontal="left" vertical="center"/>
    </xf>
    <xf numFmtId="0" fontId="4" fillId="4" borderId="23" xfId="0" applyFont="1" applyFill="1" applyBorder="1" applyAlignment="1">
      <alignment horizontal="left" vertical="center"/>
    </xf>
    <xf numFmtId="0" fontId="4" fillId="4" borderId="24" xfId="0" applyFont="1" applyFill="1" applyBorder="1" applyAlignment="1">
      <alignment horizontal="left" vertical="center"/>
    </xf>
    <xf numFmtId="14" fontId="4" fillId="5" borderId="24" xfId="0" applyNumberFormat="1" applyFont="1" applyFill="1" applyBorder="1" applyAlignment="1" applyProtection="1">
      <alignment horizontal="center" vertical="center"/>
      <protection locked="0"/>
    </xf>
    <xf numFmtId="0" fontId="4" fillId="4" borderId="24" xfId="0" applyFont="1" applyFill="1" applyBorder="1" applyAlignment="1">
      <alignment vertical="center"/>
    </xf>
    <xf numFmtId="0" fontId="0" fillId="4" borderId="8" xfId="0" applyFill="1" applyBorder="1" applyAlignment="1" applyProtection="1">
      <alignment vertical="center" wrapText="1"/>
      <protection locked="0"/>
    </xf>
    <xf numFmtId="0" fontId="0" fillId="4" borderId="8" xfId="0" applyFill="1" applyBorder="1" applyAlignment="1">
      <alignment vertical="center" wrapText="1"/>
    </xf>
    <xf numFmtId="0" fontId="0" fillId="4" borderId="9" xfId="0" applyFill="1" applyBorder="1" applyAlignment="1">
      <alignment vertical="center" wrapText="1"/>
    </xf>
    <xf numFmtId="0" fontId="0" fillId="4" borderId="8" xfId="0" applyFill="1" applyBorder="1" applyAlignment="1">
      <alignment horizontal="center" vertical="center" wrapText="1"/>
    </xf>
    <xf numFmtId="0" fontId="0" fillId="4" borderId="28" xfId="0" applyFill="1" applyBorder="1" applyAlignment="1">
      <alignment vertical="center" wrapText="1"/>
    </xf>
    <xf numFmtId="0" fontId="0" fillId="4" borderId="0" xfId="0" applyFill="1" applyAlignment="1">
      <alignment vertical="center" wrapText="1"/>
    </xf>
    <xf numFmtId="0" fontId="0" fillId="4" borderId="29" xfId="0" applyFill="1" applyBorder="1" applyAlignment="1">
      <alignment vertical="center" wrapText="1"/>
    </xf>
    <xf numFmtId="0" fontId="0" fillId="4" borderId="0" xfId="0" applyFill="1" applyAlignment="1">
      <alignment horizontal="center" vertical="center" wrapText="1"/>
    </xf>
    <xf numFmtId="0" fontId="0" fillId="4" borderId="12" xfId="0" applyFill="1" applyBorder="1" applyAlignment="1">
      <alignment vertical="center" wrapText="1"/>
    </xf>
    <xf numFmtId="0" fontId="0" fillId="4" borderId="11" xfId="0" applyFill="1" applyBorder="1"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4" fillId="5" borderId="0" xfId="0" applyFont="1" applyFill="1" applyAlignment="1" applyProtection="1">
      <alignment horizontal="left" vertical="center"/>
      <protection locked="0"/>
    </xf>
    <xf numFmtId="0" fontId="4" fillId="0" borderId="31"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1" fontId="4" fillId="0" borderId="33" xfId="0" applyNumberFormat="1" applyFont="1" applyBorder="1" applyAlignment="1">
      <alignment horizontal="center" vertical="center" wrapText="1"/>
    </xf>
    <xf numFmtId="1" fontId="4" fillId="0" borderId="34" xfId="0" applyNumberFormat="1" applyFont="1" applyBorder="1" applyAlignment="1">
      <alignment horizontal="center" vertical="center" wrapText="1"/>
    </xf>
    <xf numFmtId="1" fontId="4" fillId="0" borderId="9" xfId="0" applyNumberFormat="1" applyFont="1" applyBorder="1" applyAlignment="1">
      <alignment horizontal="center" vertical="center" wrapText="1"/>
    </xf>
    <xf numFmtId="0" fontId="4" fillId="0" borderId="35" xfId="0" applyFont="1" applyBorder="1" applyAlignment="1">
      <alignment horizontal="center" vertical="center" wrapText="1"/>
    </xf>
    <xf numFmtId="165" fontId="4" fillId="0" borderId="33" xfId="0" applyNumberFormat="1" applyFont="1" applyBorder="1" applyAlignment="1">
      <alignment horizontal="center" vertical="center" wrapText="1"/>
    </xf>
    <xf numFmtId="49" fontId="10" fillId="8" borderId="30" xfId="0" applyNumberFormat="1" applyFont="1" applyFill="1" applyBorder="1" applyAlignment="1">
      <alignment horizontal="center" vertical="center"/>
    </xf>
    <xf numFmtId="49" fontId="10" fillId="8" borderId="30" xfId="0" applyNumberFormat="1" applyFont="1" applyFill="1" applyBorder="1" applyAlignment="1" applyProtection="1">
      <alignment horizontal="center" vertical="center"/>
      <protection locked="0"/>
    </xf>
    <xf numFmtId="0" fontId="4" fillId="8" borderId="30" xfId="0" applyFont="1" applyFill="1" applyBorder="1" applyAlignment="1" applyProtection="1">
      <alignment horizontal="center" vertical="center" wrapText="1"/>
      <protection locked="0" hidden="1"/>
    </xf>
    <xf numFmtId="0" fontId="11" fillId="8" borderId="30" xfId="0" applyFont="1" applyFill="1" applyBorder="1" applyAlignment="1" applyProtection="1">
      <alignment horizontal="right" vertical="center"/>
      <protection locked="0"/>
    </xf>
    <xf numFmtId="49" fontId="10" fillId="9" borderId="30" xfId="0" applyNumberFormat="1" applyFont="1" applyFill="1" applyBorder="1" applyAlignment="1" applyProtection="1">
      <alignment horizontal="center" vertical="center"/>
      <protection locked="0"/>
    </xf>
    <xf numFmtId="0" fontId="11" fillId="8" borderId="30" xfId="0" applyFont="1" applyFill="1" applyBorder="1" applyAlignment="1" applyProtection="1">
      <alignment horizontal="center" vertical="center"/>
      <protection locked="0"/>
    </xf>
    <xf numFmtId="0" fontId="0" fillId="8" borderId="30" xfId="0" applyFill="1" applyBorder="1" applyAlignment="1">
      <alignment vertical="center"/>
    </xf>
    <xf numFmtId="0" fontId="3" fillId="8" borderId="30" xfId="0" applyFont="1" applyFill="1" applyBorder="1" applyAlignment="1">
      <alignment horizontal="center" vertical="center" wrapText="1"/>
    </xf>
    <xf numFmtId="49" fontId="3" fillId="8" borderId="30" xfId="0" applyNumberFormat="1" applyFont="1" applyFill="1" applyBorder="1" applyAlignment="1">
      <alignment horizontal="center" vertical="center" wrapText="1"/>
    </xf>
    <xf numFmtId="0" fontId="3" fillId="8" borderId="30" xfId="0" applyFont="1" applyFill="1" applyBorder="1" applyAlignment="1">
      <alignment horizontal="center" vertical="center"/>
    </xf>
    <xf numFmtId="0" fontId="11" fillId="8" borderId="30" xfId="0" applyFont="1" applyFill="1" applyBorder="1" applyAlignment="1">
      <alignment horizontal="center" vertical="center"/>
    </xf>
    <xf numFmtId="2" fontId="11" fillId="8" borderId="30" xfId="0" applyNumberFormat="1" applyFont="1" applyFill="1" applyBorder="1" applyAlignment="1">
      <alignment horizontal="center" vertical="center"/>
    </xf>
    <xf numFmtId="0" fontId="0" fillId="8" borderId="30" xfId="0" applyFill="1" applyBorder="1" applyAlignment="1">
      <alignment horizontal="center" vertical="center"/>
    </xf>
    <xf numFmtId="0" fontId="12" fillId="8" borderId="30" xfId="0" applyFont="1" applyFill="1" applyBorder="1" applyAlignment="1">
      <alignment horizontal="center" vertical="center" wrapText="1"/>
    </xf>
    <xf numFmtId="0" fontId="4" fillId="7" borderId="24" xfId="0" applyFont="1" applyFill="1" applyBorder="1" applyAlignment="1" applyProtection="1">
      <alignment horizontal="center" vertical="center" wrapText="1"/>
      <protection locked="0"/>
    </xf>
    <xf numFmtId="0" fontId="0" fillId="0" borderId="0" xfId="0" applyAlignment="1">
      <alignment wrapText="1"/>
    </xf>
    <xf numFmtId="0" fontId="0" fillId="0" borderId="0" xfId="0" applyAlignment="1">
      <alignment horizontal="left" wrapText="1"/>
    </xf>
    <xf numFmtId="38" fontId="6" fillId="3" borderId="38" xfId="1" applyNumberFormat="1" applyFont="1" applyFill="1" applyBorder="1" applyAlignment="1">
      <alignment horizontal="center" vertical="center" wrapText="1"/>
    </xf>
    <xf numFmtId="38" fontId="6" fillId="0" borderId="38" xfId="1" applyNumberFormat="1" applyFont="1" applyBorder="1" applyAlignment="1">
      <alignment horizontal="left" vertical="center"/>
    </xf>
    <xf numFmtId="38" fontId="6" fillId="0" borderId="39" xfId="1" applyNumberFormat="1" applyFont="1" applyBorder="1" applyAlignment="1">
      <alignment horizontal="left" vertical="center"/>
    </xf>
    <xf numFmtId="166" fontId="6" fillId="0" borderId="38" xfId="1" applyNumberFormat="1" applyFont="1" applyBorder="1" applyAlignment="1">
      <alignment horizontal="left" vertical="center"/>
    </xf>
    <xf numFmtId="166" fontId="6" fillId="0" borderId="39" xfId="1" applyNumberFormat="1" applyFont="1" applyBorder="1" applyAlignment="1">
      <alignment horizontal="left" vertical="center"/>
    </xf>
    <xf numFmtId="0" fontId="0" fillId="0" borderId="36" xfId="0" applyBorder="1" applyAlignment="1">
      <alignment vertical="center" wrapText="1"/>
    </xf>
    <xf numFmtId="0" fontId="0" fillId="0" borderId="40" xfId="0" applyBorder="1" applyAlignment="1">
      <alignment horizontal="center" vertical="center" wrapText="1"/>
    </xf>
    <xf numFmtId="0" fontId="13" fillId="10" borderId="2" xfId="0" applyFont="1" applyFill="1" applyBorder="1" applyAlignment="1">
      <alignment horizontal="center" vertical="center" wrapText="1"/>
    </xf>
    <xf numFmtId="0" fontId="13" fillId="10" borderId="2" xfId="0" applyFont="1" applyFill="1" applyBorder="1" applyAlignment="1">
      <alignment horizontal="left" vertical="center" wrapText="1"/>
    </xf>
    <xf numFmtId="0" fontId="0" fillId="0" borderId="40" xfId="0" applyBorder="1" applyAlignment="1">
      <alignment horizontal="left" vertical="center" wrapText="1"/>
    </xf>
    <xf numFmtId="0" fontId="15" fillId="11" borderId="0" xfId="0" applyFont="1" applyFill="1" applyAlignment="1">
      <alignment horizontal="left"/>
    </xf>
    <xf numFmtId="0" fontId="16" fillId="11" borderId="0" xfId="0" applyFont="1" applyFill="1" applyAlignment="1">
      <alignment horizontal="center" vertical="center"/>
    </xf>
    <xf numFmtId="0" fontId="15" fillId="6" borderId="36" xfId="0" applyFont="1" applyFill="1" applyBorder="1" applyAlignment="1">
      <alignment horizontal="left"/>
    </xf>
    <xf numFmtId="0" fontId="15" fillId="12" borderId="36" xfId="0" applyFont="1" applyFill="1" applyBorder="1" applyAlignment="1">
      <alignment horizontal="left"/>
    </xf>
    <xf numFmtId="0" fontId="18" fillId="13" borderId="36" xfId="0" applyFont="1" applyFill="1" applyBorder="1" applyAlignment="1">
      <alignment horizontal="center" vertical="center" wrapText="1"/>
    </xf>
    <xf numFmtId="0" fontId="19" fillId="14" borderId="0" xfId="0" applyFont="1" applyFill="1" applyAlignment="1">
      <alignment horizontal="center" vertical="center" wrapText="1"/>
    </xf>
    <xf numFmtId="0" fontId="0" fillId="0" borderId="36" xfId="0" applyBorder="1"/>
    <xf numFmtId="0" fontId="19" fillId="14" borderId="36" xfId="0" applyFont="1" applyFill="1" applyBorder="1" applyAlignment="1">
      <alignment vertical="center" wrapText="1"/>
    </xf>
    <xf numFmtId="0" fontId="20" fillId="15" borderId="36" xfId="0" applyFont="1" applyFill="1" applyBorder="1" applyAlignment="1">
      <alignment vertical="center" wrapText="1"/>
    </xf>
    <xf numFmtId="0" fontId="21" fillId="0" borderId="36" xfId="0" applyFont="1" applyBorder="1" applyAlignment="1">
      <alignment horizontal="center" vertical="center" wrapText="1"/>
    </xf>
    <xf numFmtId="0" fontId="19" fillId="14" borderId="36" xfId="0" applyFont="1" applyFill="1" applyBorder="1" applyAlignment="1">
      <alignment horizontal="center" vertical="center" wrapText="1"/>
    </xf>
    <xf numFmtId="0" fontId="20" fillId="15" borderId="36" xfId="0" applyFont="1" applyFill="1" applyBorder="1" applyAlignment="1">
      <alignment horizontal="center" vertical="center" wrapText="1"/>
    </xf>
    <xf numFmtId="0" fontId="20" fillId="15" borderId="0" xfId="0" applyFont="1" applyFill="1" applyAlignment="1">
      <alignment horizontal="center" vertical="center" wrapText="1"/>
    </xf>
    <xf numFmtId="0" fontId="15" fillId="11" borderId="15" xfId="0" applyFont="1" applyFill="1" applyBorder="1" applyAlignment="1">
      <alignment horizontal="center"/>
    </xf>
    <xf numFmtId="0" fontId="0" fillId="11" borderId="0" xfId="0" applyFill="1"/>
    <xf numFmtId="0" fontId="16" fillId="11" borderId="0" xfId="0" applyFont="1" applyFill="1"/>
    <xf numFmtId="0" fontId="15" fillId="6" borderId="36" xfId="0" applyFont="1" applyFill="1" applyBorder="1"/>
    <xf numFmtId="0" fontId="16" fillId="0" borderId="36" xfId="0" applyFont="1" applyBorder="1" applyAlignment="1">
      <alignment horizontal="center" vertical="center"/>
    </xf>
    <xf numFmtId="0" fontId="16" fillId="0" borderId="36" xfId="0" applyFont="1" applyBorder="1" applyAlignment="1">
      <alignment horizontal="center" vertical="center" wrapText="1"/>
    </xf>
    <xf numFmtId="0" fontId="22" fillId="11" borderId="0" xfId="0" applyFont="1" applyFill="1"/>
    <xf numFmtId="0" fontId="20" fillId="11" borderId="0" xfId="0" applyFont="1" applyFill="1" applyAlignment="1">
      <alignment vertical="center" wrapText="1"/>
    </xf>
    <xf numFmtId="0" fontId="17" fillId="5" borderId="36" xfId="0" applyFont="1" applyFill="1" applyBorder="1" applyAlignment="1">
      <alignment horizontal="center" vertical="center" wrapText="1"/>
    </xf>
    <xf numFmtId="0" fontId="20" fillId="0" borderId="0" xfId="0" applyFont="1" applyAlignment="1">
      <alignment vertical="center" wrapText="1"/>
    </xf>
    <xf numFmtId="0" fontId="0" fillId="0" borderId="0" xfId="0" applyAlignment="1">
      <alignment vertical="center" wrapText="1"/>
    </xf>
    <xf numFmtId="0" fontId="20" fillId="0" borderId="0" xfId="0" applyFont="1" applyAlignment="1">
      <alignment horizontal="center" vertical="center" wrapText="1"/>
    </xf>
    <xf numFmtId="1" fontId="0" fillId="0" borderId="0" xfId="0" applyNumberFormat="1"/>
    <xf numFmtId="1" fontId="24" fillId="0" borderId="41" xfId="0" applyNumberFormat="1" applyFont="1" applyBorder="1" applyAlignment="1">
      <alignment horizontal="center" vertical="center" wrapText="1"/>
    </xf>
    <xf numFmtId="1" fontId="24" fillId="0" borderId="42" xfId="0" applyNumberFormat="1" applyFont="1" applyBorder="1" applyAlignment="1">
      <alignment horizontal="center" vertical="center" wrapText="1"/>
    </xf>
    <xf numFmtId="1" fontId="4" fillId="0" borderId="42" xfId="0" applyNumberFormat="1" applyFont="1" applyBorder="1" applyAlignment="1">
      <alignment horizontal="center" vertical="center"/>
    </xf>
    <xf numFmtId="1" fontId="4" fillId="0" borderId="43" xfId="0" applyNumberFormat="1" applyFont="1" applyBorder="1" applyAlignment="1">
      <alignment horizontal="center" vertical="center"/>
    </xf>
    <xf numFmtId="0" fontId="25" fillId="17" borderId="44" xfId="0" applyFont="1" applyFill="1" applyBorder="1" applyAlignment="1">
      <alignment vertical="center" wrapText="1"/>
    </xf>
    <xf numFmtId="167" fontId="25" fillId="17" borderId="44" xfId="0" applyNumberFormat="1" applyFont="1" applyFill="1" applyBorder="1" applyAlignment="1">
      <alignment horizontal="center" vertical="center" wrapText="1"/>
    </xf>
    <xf numFmtId="167" fontId="26" fillId="17" borderId="44" xfId="0" applyNumberFormat="1" applyFont="1" applyFill="1" applyBorder="1" applyAlignment="1">
      <alignment horizontal="center" vertical="center" wrapText="1"/>
    </xf>
    <xf numFmtId="167" fontId="26" fillId="17" borderId="45" xfId="0" applyNumberFormat="1" applyFont="1" applyFill="1" applyBorder="1" applyAlignment="1">
      <alignment horizontal="center" vertical="center" wrapText="1"/>
    </xf>
    <xf numFmtId="0" fontId="25" fillId="16" borderId="36" xfId="0" applyFont="1" applyFill="1" applyBorder="1" applyAlignment="1">
      <alignment vertical="center" wrapText="1"/>
    </xf>
    <xf numFmtId="167" fontId="25" fillId="16" borderId="36" xfId="0" applyNumberFormat="1" applyFont="1" applyFill="1" applyBorder="1" applyAlignment="1">
      <alignment horizontal="center" vertical="center" wrapText="1"/>
    </xf>
    <xf numFmtId="167" fontId="26" fillId="16" borderId="36" xfId="0" applyNumberFormat="1" applyFont="1" applyFill="1" applyBorder="1" applyAlignment="1">
      <alignment horizontal="center" vertical="center" wrapText="1"/>
    </xf>
    <xf numFmtId="167" fontId="26" fillId="16" borderId="47" xfId="0" applyNumberFormat="1" applyFont="1" applyFill="1" applyBorder="1" applyAlignment="1">
      <alignment horizontal="center" vertical="center" wrapText="1"/>
    </xf>
    <xf numFmtId="0" fontId="25" fillId="19" borderId="44" xfId="0" applyFont="1" applyFill="1" applyBorder="1" applyAlignment="1">
      <alignment vertical="center" wrapText="1"/>
    </xf>
    <xf numFmtId="167" fontId="25" fillId="19" borderId="44" xfId="0" applyNumberFormat="1" applyFont="1" applyFill="1" applyBorder="1" applyAlignment="1">
      <alignment horizontal="center" vertical="center" wrapText="1"/>
    </xf>
    <xf numFmtId="167" fontId="26" fillId="19" borderId="44" xfId="0" applyNumberFormat="1" applyFont="1" applyFill="1" applyBorder="1" applyAlignment="1">
      <alignment horizontal="center" vertical="center" wrapText="1"/>
    </xf>
    <xf numFmtId="167" fontId="26" fillId="19" borderId="45" xfId="0" applyNumberFormat="1" applyFont="1" applyFill="1" applyBorder="1" applyAlignment="1">
      <alignment horizontal="center" vertical="center" wrapText="1"/>
    </xf>
    <xf numFmtId="0" fontId="25" fillId="20" borderId="36" xfId="0" applyFont="1" applyFill="1" applyBorder="1" applyAlignment="1">
      <alignment vertical="center" wrapText="1"/>
    </xf>
    <xf numFmtId="167" fontId="25" fillId="20" borderId="36" xfId="0" applyNumberFormat="1" applyFont="1" applyFill="1" applyBorder="1" applyAlignment="1">
      <alignment horizontal="center" vertical="center" wrapText="1"/>
    </xf>
    <xf numFmtId="167" fontId="26" fillId="20" borderId="36" xfId="0" applyNumberFormat="1" applyFont="1" applyFill="1" applyBorder="1" applyAlignment="1">
      <alignment horizontal="center" vertical="center" wrapText="1"/>
    </xf>
    <xf numFmtId="167" fontId="26" fillId="20" borderId="47" xfId="0" applyNumberFormat="1" applyFont="1" applyFill="1" applyBorder="1" applyAlignment="1">
      <alignment horizontal="center" vertical="center" wrapText="1"/>
    </xf>
    <xf numFmtId="167" fontId="25" fillId="17" borderId="49" xfId="0" applyNumberFormat="1" applyFont="1" applyFill="1" applyBorder="1" applyAlignment="1">
      <alignment horizontal="center" vertical="center" wrapText="1"/>
    </xf>
    <xf numFmtId="167" fontId="25" fillId="17" borderId="50" xfId="0" applyNumberFormat="1" applyFont="1" applyFill="1" applyBorder="1" applyAlignment="1">
      <alignment horizontal="center" vertical="center" wrapText="1"/>
    </xf>
    <xf numFmtId="167" fontId="25" fillId="16" borderId="47" xfId="0" applyNumberFormat="1" applyFont="1" applyFill="1" applyBorder="1" applyAlignment="1">
      <alignment horizontal="center" vertical="center" wrapText="1"/>
    </xf>
    <xf numFmtId="167" fontId="25" fillId="19" borderId="45" xfId="0" applyNumberFormat="1" applyFont="1" applyFill="1" applyBorder="1" applyAlignment="1">
      <alignment horizontal="center" vertical="center" wrapText="1"/>
    </xf>
    <xf numFmtId="167" fontId="25" fillId="20" borderId="47" xfId="0" applyNumberFormat="1" applyFont="1" applyFill="1" applyBorder="1" applyAlignment="1">
      <alignment horizontal="center" vertical="center" wrapText="1"/>
    </xf>
    <xf numFmtId="0" fontId="25" fillId="17" borderId="49" xfId="0" applyFont="1" applyFill="1" applyBorder="1" applyAlignment="1">
      <alignment horizontal="center" vertical="center" wrapText="1"/>
    </xf>
    <xf numFmtId="0" fontId="25" fillId="16" borderId="36" xfId="0" applyFont="1" applyFill="1" applyBorder="1" applyAlignment="1">
      <alignment horizontal="center" vertical="center" wrapText="1"/>
    </xf>
    <xf numFmtId="0" fontId="25" fillId="19" borderId="44" xfId="0" applyFont="1" applyFill="1" applyBorder="1" applyAlignment="1">
      <alignment horizontal="center" vertical="center" wrapText="1"/>
    </xf>
    <xf numFmtId="0" fontId="25" fillId="20" borderId="36" xfId="0" applyFont="1" applyFill="1" applyBorder="1" applyAlignment="1">
      <alignment horizontal="center" vertical="center" wrapText="1"/>
    </xf>
    <xf numFmtId="0" fontId="4" fillId="0" borderId="51" xfId="0" applyFont="1" applyBorder="1" applyAlignment="1">
      <alignment vertical="center" wrapText="1"/>
    </xf>
    <xf numFmtId="0" fontId="4" fillId="0" borderId="0" xfId="0" applyFont="1" applyAlignment="1">
      <alignment vertical="center" wrapText="1"/>
    </xf>
    <xf numFmtId="0" fontId="6" fillId="14" borderId="36" xfId="0" applyFont="1" applyFill="1" applyBorder="1" applyAlignment="1">
      <alignment horizontal="center" vertical="center"/>
    </xf>
    <xf numFmtId="0" fontId="27" fillId="21" borderId="36" xfId="0" applyFont="1" applyFill="1" applyBorder="1" applyAlignment="1">
      <alignment horizontal="center" vertical="center" wrapText="1"/>
    </xf>
    <xf numFmtId="0" fontId="4" fillId="0" borderId="38" xfId="0" applyFont="1" applyBorder="1" applyAlignment="1">
      <alignment vertical="center" wrapText="1"/>
    </xf>
    <xf numFmtId="0" fontId="28" fillId="21" borderId="36" xfId="0" applyFont="1" applyFill="1" applyBorder="1" applyAlignment="1">
      <alignment horizontal="center" vertical="center" wrapText="1"/>
    </xf>
    <xf numFmtId="0" fontId="30" fillId="14" borderId="36" xfId="0" applyFont="1" applyFill="1" applyBorder="1" applyAlignment="1">
      <alignment horizontal="center" vertical="center" wrapText="1"/>
    </xf>
    <xf numFmtId="0" fontId="29" fillId="21" borderId="49" xfId="0" applyFont="1" applyFill="1" applyBorder="1" applyAlignment="1">
      <alignment horizontal="center" vertical="center" wrapText="1"/>
    </xf>
    <xf numFmtId="0" fontId="30" fillId="21" borderId="36" xfId="0" applyFont="1" applyFill="1" applyBorder="1" applyAlignment="1">
      <alignment horizontal="center" vertical="center" wrapText="1"/>
    </xf>
    <xf numFmtId="0" fontId="31" fillId="21" borderId="36" xfId="0" applyFont="1" applyFill="1" applyBorder="1" applyAlignment="1">
      <alignment horizontal="center" vertical="center" wrapText="1"/>
    </xf>
    <xf numFmtId="0" fontId="29" fillId="21" borderId="44" xfId="0" applyFont="1" applyFill="1" applyBorder="1" applyAlignment="1">
      <alignment horizontal="center" vertical="center" wrapText="1"/>
    </xf>
    <xf numFmtId="0" fontId="29" fillId="21" borderId="36" xfId="0" applyFont="1" applyFill="1" applyBorder="1" applyAlignment="1">
      <alignment horizontal="center" vertical="center" wrapText="1"/>
    </xf>
    <xf numFmtId="0" fontId="32" fillId="0" borderId="53" xfId="0" applyFont="1" applyBorder="1" applyAlignment="1">
      <alignment horizontal="center" vertical="center" wrapText="1"/>
    </xf>
    <xf numFmtId="0" fontId="32" fillId="21" borderId="36" xfId="0" applyFont="1" applyFill="1" applyBorder="1" applyAlignment="1">
      <alignment horizontal="center" vertical="center" wrapText="1"/>
    </xf>
    <xf numFmtId="0" fontId="33" fillId="21" borderId="36" xfId="0" applyFont="1" applyFill="1" applyBorder="1" applyAlignment="1">
      <alignment horizontal="center" vertical="center" wrapText="1"/>
    </xf>
    <xf numFmtId="0" fontId="34" fillId="0" borderId="0" xfId="0" applyFont="1"/>
    <xf numFmtId="0" fontId="35" fillId="21" borderId="36" xfId="0" applyFont="1" applyFill="1" applyBorder="1" applyAlignment="1">
      <alignment horizontal="center" vertical="center" wrapText="1"/>
    </xf>
    <xf numFmtId="0" fontId="30" fillId="14" borderId="55" xfId="0" applyFont="1" applyFill="1" applyBorder="1" applyAlignment="1">
      <alignment horizontal="center" vertical="center" wrapText="1"/>
    </xf>
    <xf numFmtId="0" fontId="32" fillId="0" borderId="56" xfId="0" applyFont="1" applyBorder="1" applyAlignment="1">
      <alignment horizontal="center" vertical="center" wrapText="1"/>
    </xf>
    <xf numFmtId="0" fontId="32" fillId="21" borderId="55" xfId="0" applyFont="1" applyFill="1" applyBorder="1" applyAlignment="1">
      <alignment horizontal="center" vertical="center" wrapText="1"/>
    </xf>
    <xf numFmtId="0" fontId="33" fillId="21" borderId="55" xfId="0" applyFont="1" applyFill="1" applyBorder="1" applyAlignment="1">
      <alignment horizontal="center" vertical="center" wrapText="1"/>
    </xf>
    <xf numFmtId="0" fontId="35" fillId="21" borderId="55" xfId="0" applyFont="1" applyFill="1" applyBorder="1" applyAlignment="1">
      <alignment horizontal="center" vertical="center" wrapText="1"/>
    </xf>
    <xf numFmtId="0" fontId="29" fillId="0" borderId="28" xfId="0" applyFont="1" applyBorder="1" applyAlignment="1">
      <alignment horizontal="center" vertical="center" wrapText="1"/>
    </xf>
    <xf numFmtId="0" fontId="6" fillId="14" borderId="57" xfId="0" applyFont="1" applyFill="1" applyBorder="1" applyAlignment="1">
      <alignment horizontal="center" vertical="center"/>
    </xf>
    <xf numFmtId="0" fontId="30" fillId="0" borderId="38" xfId="0" applyFont="1" applyBorder="1" applyAlignment="1">
      <alignment horizontal="center" vertical="center" wrapText="1"/>
    </xf>
    <xf numFmtId="0" fontId="29" fillId="21" borderId="3" xfId="0" applyFont="1" applyFill="1" applyBorder="1" applyAlignment="1">
      <alignment horizontal="center" vertical="center" wrapText="1"/>
    </xf>
    <xf numFmtId="0" fontId="30" fillId="0" borderId="53" xfId="0" applyFont="1" applyBorder="1" applyAlignment="1">
      <alignment horizontal="center" vertical="center" wrapText="1"/>
    </xf>
    <xf numFmtId="0" fontId="22" fillId="0" borderId="0" xfId="0" applyFont="1" applyAlignment="1">
      <alignment vertical="center" wrapText="1"/>
    </xf>
    <xf numFmtId="0" fontId="22" fillId="0" borderId="0" xfId="0" applyFont="1"/>
    <xf numFmtId="0" fontId="16" fillId="0" borderId="0" xfId="0" applyFont="1" applyAlignment="1">
      <alignment horizontal="center" vertical="center"/>
    </xf>
    <xf numFmtId="0" fontId="15" fillId="0" borderId="0" xfId="0" applyFont="1" applyAlignment="1">
      <alignment horizontal="left"/>
    </xf>
    <xf numFmtId="0" fontId="25" fillId="0" borderId="36" xfId="0" applyFont="1" applyBorder="1" applyAlignment="1">
      <alignment horizontal="center" vertical="center" wrapText="1"/>
    </xf>
    <xf numFmtId="0" fontId="36" fillId="0" borderId="36" xfId="0" applyFont="1" applyBorder="1" applyAlignment="1">
      <alignment horizontal="center" vertical="center" wrapText="1"/>
    </xf>
    <xf numFmtId="0" fontId="37" fillId="0" borderId="36" xfId="0" applyFont="1" applyBorder="1" applyAlignment="1">
      <alignment horizontal="center" vertical="center" wrapText="1"/>
    </xf>
    <xf numFmtId="0" fontId="25" fillId="0" borderId="36" xfId="0" applyFont="1" applyBorder="1" applyAlignment="1">
      <alignment vertical="center" wrapText="1"/>
    </xf>
    <xf numFmtId="0" fontId="37" fillId="19" borderId="36" xfId="0" applyFont="1" applyFill="1" applyBorder="1" applyAlignment="1">
      <alignment vertical="center" wrapText="1"/>
    </xf>
    <xf numFmtId="0" fontId="37" fillId="19" borderId="36" xfId="0" applyFont="1" applyFill="1" applyBorder="1" applyAlignment="1">
      <alignment horizontal="center" vertical="center" wrapText="1"/>
    </xf>
    <xf numFmtId="0" fontId="38" fillId="0" borderId="36" xfId="0" applyFont="1" applyBorder="1" applyAlignment="1">
      <alignment horizontal="center" vertical="center" wrapText="1"/>
    </xf>
    <xf numFmtId="0" fontId="0" fillId="0" borderId="36" xfId="0" applyBorder="1" applyAlignment="1">
      <alignment horizontal="center" vertical="center" wrapText="1"/>
    </xf>
    <xf numFmtId="0" fontId="39" fillId="19" borderId="36" xfId="0" applyFont="1" applyFill="1" applyBorder="1" applyAlignment="1">
      <alignment horizontal="center" vertical="center" wrapText="1"/>
    </xf>
    <xf numFmtId="0" fontId="40" fillId="19" borderId="36" xfId="0" applyFont="1" applyFill="1" applyBorder="1" applyAlignment="1">
      <alignment horizontal="center" vertical="center" wrapText="1"/>
    </xf>
    <xf numFmtId="0" fontId="15" fillId="0" borderId="36" xfId="0" applyFont="1" applyBorder="1" applyAlignment="1">
      <alignment horizontal="left" wrapText="1"/>
    </xf>
    <xf numFmtId="0" fontId="15" fillId="0" borderId="0" xfId="0" applyFont="1" applyAlignment="1">
      <alignment horizontal="left" wrapText="1"/>
    </xf>
    <xf numFmtId="0" fontId="29" fillId="0" borderId="0" xfId="0" applyFont="1" applyAlignment="1">
      <alignment horizontal="center" vertical="center" wrapText="1"/>
    </xf>
    <xf numFmtId="0" fontId="0" fillId="0" borderId="0" xfId="0" applyAlignment="1" applyProtection="1">
      <alignment horizontal="center" vertical="center" wrapText="1"/>
      <protection locked="0"/>
    </xf>
    <xf numFmtId="0" fontId="17" fillId="0" borderId="36" xfId="0" applyFont="1" applyBorder="1" applyAlignment="1">
      <alignment horizontal="center" vertical="center" wrapText="1"/>
    </xf>
    <xf numFmtId="0" fontId="14" fillId="0" borderId="15" xfId="0" applyFont="1" applyBorder="1"/>
    <xf numFmtId="0" fontId="16" fillId="0" borderId="0" xfId="0" applyFont="1" applyAlignment="1">
      <alignment horizontal="center" vertical="center" wrapText="1"/>
    </xf>
    <xf numFmtId="0" fontId="10" fillId="0" borderId="0" xfId="0" applyFont="1"/>
    <xf numFmtId="0" fontId="36" fillId="0" borderId="0" xfId="0" applyFont="1" applyAlignment="1">
      <alignment horizontal="center" vertical="center" wrapText="1"/>
    </xf>
    <xf numFmtId="0" fontId="0" fillId="0" borderId="0" xfId="0" applyAlignment="1">
      <alignment vertical="center"/>
    </xf>
    <xf numFmtId="14" fontId="0" fillId="0" borderId="0" xfId="0" applyNumberFormat="1" applyAlignment="1">
      <alignment horizontal="center" vertical="center" wrapText="1"/>
    </xf>
    <xf numFmtId="0" fontId="43" fillId="0" borderId="36" xfId="0" applyFont="1" applyBorder="1" applyAlignment="1">
      <alignment vertical="center" wrapText="1"/>
    </xf>
    <xf numFmtId="0" fontId="43" fillId="0" borderId="36" xfId="0" applyFont="1" applyBorder="1" applyAlignment="1">
      <alignment horizontal="center" vertical="center" wrapText="1"/>
    </xf>
    <xf numFmtId="0" fontId="43" fillId="0" borderId="37" xfId="0" applyFont="1" applyBorder="1" applyAlignment="1">
      <alignment vertical="center" wrapText="1"/>
    </xf>
    <xf numFmtId="0" fontId="36" fillId="0" borderId="37" xfId="0" applyFont="1" applyBorder="1" applyAlignment="1">
      <alignment horizontal="center" vertical="center" wrapText="1"/>
    </xf>
    <xf numFmtId="0" fontId="37" fillId="0" borderId="36" xfId="0" applyFont="1" applyBorder="1" applyAlignment="1">
      <alignment vertical="center" wrapText="1"/>
    </xf>
    <xf numFmtId="0" fontId="42" fillId="0" borderId="0" xfId="0" applyFont="1" applyAlignment="1">
      <alignment horizontal="center" vertical="center"/>
    </xf>
    <xf numFmtId="4" fontId="42" fillId="0" borderId="0" xfId="0" applyNumberFormat="1" applyFont="1" applyAlignment="1">
      <alignment horizontal="center" vertical="center"/>
    </xf>
    <xf numFmtId="0" fontId="41" fillId="0" borderId="0" xfId="0" applyFont="1" applyAlignment="1">
      <alignment horizontal="left" vertical="center"/>
    </xf>
    <xf numFmtId="0" fontId="4" fillId="5" borderId="16" xfId="0" applyFont="1" applyFill="1" applyBorder="1" applyAlignment="1" applyProtection="1">
      <alignment horizontal="left" vertical="center"/>
      <protection locked="0"/>
    </xf>
    <xf numFmtId="0" fontId="4" fillId="5" borderId="2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0" fillId="0" borderId="58" xfId="0" applyBorder="1" applyAlignment="1" applyProtection="1">
      <alignment horizontal="center" vertical="center" wrapText="1"/>
      <protection locked="0"/>
    </xf>
    <xf numFmtId="1" fontId="0" fillId="0" borderId="58" xfId="0" applyNumberFormat="1" applyBorder="1" applyAlignment="1" applyProtection="1">
      <alignment horizontal="center" vertical="center" wrapText="1"/>
      <protection locked="0"/>
    </xf>
    <xf numFmtId="165" fontId="0" fillId="0" borderId="58" xfId="0" applyNumberFormat="1" applyBorder="1" applyAlignment="1" applyProtection="1">
      <alignment horizontal="center" vertical="center" wrapText="1"/>
      <protection locked="0"/>
    </xf>
    <xf numFmtId="0" fontId="0" fillId="0" borderId="58" xfId="0" applyBorder="1" applyAlignment="1">
      <alignment horizontal="center" vertical="center" wrapText="1"/>
    </xf>
    <xf numFmtId="0" fontId="0" fillId="0" borderId="30" xfId="0" applyBorder="1" applyAlignment="1" applyProtection="1">
      <alignment horizontal="center" vertical="center" wrapText="1"/>
      <protection locked="0"/>
    </xf>
    <xf numFmtId="0" fontId="0" fillId="0" borderId="30" xfId="0" applyBorder="1" applyAlignment="1" applyProtection="1">
      <alignment horizontal="left" vertical="center" wrapText="1"/>
      <protection locked="0"/>
    </xf>
    <xf numFmtId="1" fontId="0" fillId="0" borderId="30" xfId="0" applyNumberFormat="1" applyBorder="1" applyAlignment="1" applyProtection="1">
      <alignment horizontal="center" vertical="center" wrapText="1"/>
      <protection locked="0"/>
    </xf>
    <xf numFmtId="0" fontId="0" fillId="0" borderId="30" xfId="0" applyBorder="1" applyAlignment="1">
      <alignment horizontal="center" vertical="center" wrapText="1"/>
    </xf>
    <xf numFmtId="0" fontId="44" fillId="0" borderId="0" xfId="0" applyFont="1" applyAlignment="1" applyProtection="1">
      <alignment horizontal="center" vertical="center" wrapText="1"/>
      <protection locked="0" hidden="1"/>
    </xf>
    <xf numFmtId="0" fontId="45" fillId="0" borderId="0" xfId="0" applyFont="1" applyProtection="1">
      <protection locked="0"/>
    </xf>
    <xf numFmtId="0" fontId="4" fillId="0" borderId="0" xfId="0" applyFont="1"/>
    <xf numFmtId="0" fontId="0" fillId="4" borderId="11" xfId="0" applyFill="1" applyBorder="1" applyAlignment="1">
      <alignment horizontal="left" vertical="center" wrapText="1"/>
    </xf>
    <xf numFmtId="0" fontId="0" fillId="4" borderId="10" xfId="0" applyFill="1" applyBorder="1" applyAlignment="1">
      <alignment vertical="center" wrapText="1"/>
    </xf>
    <xf numFmtId="0" fontId="4" fillId="4" borderId="7" xfId="0" applyFont="1" applyFill="1" applyBorder="1" applyAlignment="1">
      <alignment vertical="center" wrapText="1"/>
    </xf>
    <xf numFmtId="0" fontId="4" fillId="4" borderId="8" xfId="0" applyFont="1" applyFill="1" applyBorder="1" applyAlignment="1">
      <alignment vertical="center" wrapText="1"/>
    </xf>
    <xf numFmtId="0" fontId="4" fillId="8" borderId="30" xfId="0" applyFont="1" applyFill="1" applyBorder="1" applyAlignment="1">
      <alignment horizontal="center" vertical="center" wrapText="1"/>
    </xf>
    <xf numFmtId="0" fontId="4" fillId="8" borderId="30" xfId="0" applyFont="1" applyFill="1" applyBorder="1" applyAlignment="1" applyProtection="1">
      <alignment horizontal="center" vertical="center" wrapText="1"/>
      <protection locked="0"/>
    </xf>
    <xf numFmtId="0" fontId="4" fillId="8" borderId="30" xfId="0" applyFont="1" applyFill="1" applyBorder="1" applyAlignment="1" applyProtection="1">
      <alignment horizontal="left" vertical="center" wrapText="1"/>
      <protection locked="0"/>
    </xf>
    <xf numFmtId="1" fontId="4" fillId="8" borderId="30" xfId="0" applyNumberFormat="1" applyFont="1" applyFill="1" applyBorder="1" applyAlignment="1">
      <alignment horizontal="center" vertical="center" wrapText="1"/>
    </xf>
    <xf numFmtId="165" fontId="4" fillId="8" borderId="30" xfId="0" applyNumberFormat="1" applyFont="1" applyFill="1" applyBorder="1" applyAlignment="1">
      <alignment horizontal="center" vertical="center" wrapText="1"/>
    </xf>
    <xf numFmtId="0" fontId="0" fillId="0" borderId="0" xfId="0" applyAlignment="1">
      <alignment horizontal="left" vertical="center" wrapText="1"/>
    </xf>
    <xf numFmtId="0" fontId="0" fillId="0" borderId="0" xfId="0" applyAlignment="1" applyProtection="1">
      <alignment horizontal="left" vertical="center" wrapText="1"/>
      <protection locked="0"/>
    </xf>
    <xf numFmtId="0" fontId="0" fillId="0" borderId="58" xfId="0" applyBorder="1" applyAlignment="1" applyProtection="1">
      <alignment horizontal="left" vertical="center" wrapText="1"/>
      <protection locked="0"/>
    </xf>
    <xf numFmtId="0" fontId="0" fillId="4" borderId="11" xfId="0" applyFill="1" applyBorder="1" applyAlignment="1" applyProtection="1">
      <alignment horizontal="left" vertical="center" wrapText="1"/>
      <protection locked="0"/>
    </xf>
    <xf numFmtId="0" fontId="10" fillId="0" borderId="0" xfId="0" applyFont="1" applyAlignment="1" applyProtection="1">
      <alignment vertical="center"/>
      <protection locked="0"/>
    </xf>
    <xf numFmtId="0" fontId="10" fillId="0" borderId="0" xfId="0" applyFont="1" applyAlignment="1" applyProtection="1">
      <alignment horizontal="center" vertical="center"/>
      <protection locked="0"/>
    </xf>
    <xf numFmtId="0" fontId="0" fillId="0" borderId="0" xfId="0" applyAlignment="1">
      <alignment horizontal="center"/>
    </xf>
    <xf numFmtId="0" fontId="4" fillId="0" borderId="0" xfId="0" applyFont="1" applyAlignment="1">
      <alignment horizontal="center" vertical="center" wrapText="1"/>
    </xf>
    <xf numFmtId="0" fontId="4" fillId="8" borderId="30" xfId="0" applyFont="1" applyFill="1" applyBorder="1" applyAlignment="1" applyProtection="1">
      <alignment horizontal="center" vertical="center" wrapText="1"/>
    </xf>
    <xf numFmtId="1" fontId="4" fillId="8" borderId="30" xfId="0" applyNumberFormat="1" applyFont="1" applyFill="1" applyBorder="1" applyAlignment="1" applyProtection="1">
      <alignment horizontal="center" vertical="center" wrapText="1"/>
    </xf>
    <xf numFmtId="165" fontId="4" fillId="8" borderId="30" xfId="0" applyNumberFormat="1" applyFont="1" applyFill="1" applyBorder="1" applyAlignment="1" applyProtection="1">
      <alignment horizontal="center" vertical="center" wrapText="1"/>
    </xf>
    <xf numFmtId="0" fontId="0" fillId="0" borderId="58" xfId="0" applyFont="1" applyFill="1" applyBorder="1" applyAlignment="1" applyProtection="1">
      <alignment horizontal="center" vertical="center" wrapText="1"/>
    </xf>
    <xf numFmtId="0" fontId="0" fillId="0" borderId="58" xfId="0" applyFont="1" applyFill="1" applyBorder="1" applyAlignment="1" applyProtection="1">
      <alignment horizontal="center" vertical="center" wrapText="1"/>
      <protection locked="0"/>
    </xf>
    <xf numFmtId="0" fontId="0" fillId="0" borderId="58" xfId="0" applyFont="1" applyFill="1" applyBorder="1" applyAlignment="1" applyProtection="1">
      <alignment horizontal="left" vertical="center" wrapText="1"/>
      <protection locked="0"/>
    </xf>
    <xf numFmtId="1" fontId="0" fillId="0" borderId="58" xfId="0" applyNumberFormat="1" applyFont="1" applyFill="1" applyBorder="1" applyAlignment="1" applyProtection="1">
      <alignment horizontal="center" vertical="center" wrapText="1"/>
      <protection locked="0"/>
    </xf>
    <xf numFmtId="165" fontId="0" fillId="0" borderId="58" xfId="0" applyNumberFormat="1" applyFont="1" applyFill="1" applyBorder="1" applyAlignment="1" applyProtection="1">
      <alignment horizontal="center" vertical="center" wrapText="1"/>
      <protection locked="0"/>
    </xf>
    <xf numFmtId="0" fontId="12" fillId="0" borderId="0" xfId="0" applyFont="1" applyAlignment="1">
      <alignment vertical="center"/>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9" xfId="0" applyFont="1" applyBorder="1" applyAlignment="1">
      <alignment horizontal="center" vertical="center" wrapText="1"/>
    </xf>
    <xf numFmtId="0" fontId="46" fillId="0" borderId="10" xfId="0" applyFont="1" applyBorder="1" applyAlignment="1">
      <alignment horizontal="center" vertical="center" wrapText="1"/>
    </xf>
    <xf numFmtId="0" fontId="46" fillId="0" borderId="11" xfId="0" applyFont="1" applyBorder="1" applyAlignment="1">
      <alignment horizontal="center" vertical="center" wrapText="1"/>
    </xf>
    <xf numFmtId="0" fontId="46" fillId="0" borderId="12" xfId="0" applyFont="1" applyBorder="1" applyAlignment="1">
      <alignment horizontal="center" vertical="center" wrapText="1"/>
    </xf>
    <xf numFmtId="0" fontId="4" fillId="5" borderId="1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10" xfId="0" applyFont="1" applyFill="1" applyBorder="1" applyAlignment="1" applyProtection="1">
      <alignment horizontal="center" vertical="center" wrapText="1"/>
      <protection locked="0"/>
    </xf>
    <xf numFmtId="0" fontId="4" fillId="5" borderId="11" xfId="0" applyFont="1" applyFill="1" applyBorder="1" applyAlignment="1" applyProtection="1">
      <alignment horizontal="center" vertical="center" wrapText="1"/>
      <protection locked="0"/>
    </xf>
    <xf numFmtId="0" fontId="4" fillId="5" borderId="12" xfId="0" applyFont="1" applyFill="1" applyBorder="1" applyAlignment="1" applyProtection="1">
      <alignment horizontal="center" vertical="center" wrapText="1"/>
      <protection locked="0"/>
    </xf>
    <xf numFmtId="0" fontId="4" fillId="4" borderId="14" xfId="0" applyFont="1" applyFill="1" applyBorder="1" applyAlignment="1">
      <alignment horizontal="center" vertical="center"/>
    </xf>
    <xf numFmtId="0" fontId="4" fillId="0" borderId="14" xfId="0" applyFont="1" applyBorder="1" applyAlignment="1">
      <alignment horizontal="center" vertical="center"/>
    </xf>
    <xf numFmtId="0" fontId="2" fillId="6" borderId="14" xfId="0" applyFont="1" applyFill="1" applyBorder="1" applyAlignment="1">
      <alignment horizontal="center" vertical="center"/>
    </xf>
    <xf numFmtId="0" fontId="2" fillId="6" borderId="17"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9"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4" fillId="5" borderId="16" xfId="0" applyFont="1" applyFill="1" applyBorder="1" applyAlignment="1" applyProtection="1">
      <alignment horizontal="left" vertical="center"/>
      <protection locked="0"/>
    </xf>
    <xf numFmtId="0" fontId="4" fillId="5" borderId="20" xfId="0" applyFont="1" applyFill="1" applyBorder="1" applyAlignment="1" applyProtection="1">
      <alignment horizontal="left" vertical="center"/>
      <protection locked="0"/>
    </xf>
    <xf numFmtId="0" fontId="4" fillId="4" borderId="21" xfId="0" applyFont="1" applyFill="1" applyBorder="1" applyAlignment="1">
      <alignment horizontal="center" vertical="center" wrapText="1"/>
    </xf>
    <xf numFmtId="0" fontId="4" fillId="4" borderId="6" xfId="0" applyFont="1" applyFill="1" applyBorder="1" applyAlignment="1">
      <alignment horizontal="center" vertical="center" wrapText="1"/>
    </xf>
    <xf numFmtId="0" fontId="4" fillId="4" borderId="25" xfId="0" applyFont="1" applyFill="1" applyBorder="1" applyAlignment="1">
      <alignment horizontal="center" vertical="center" wrapText="1"/>
    </xf>
    <xf numFmtId="0" fontId="4" fillId="4" borderId="11" xfId="0" applyFont="1" applyFill="1" applyBorder="1" applyAlignment="1">
      <alignment horizontal="center" vertical="center" wrapText="1"/>
    </xf>
    <xf numFmtId="0" fontId="4" fillId="4" borderId="22" xfId="0" applyFont="1" applyFill="1" applyBorder="1" applyAlignment="1">
      <alignment horizontal="center" vertical="center" wrapText="1"/>
    </xf>
    <xf numFmtId="0" fontId="4" fillId="4" borderId="12" xfId="0" applyFont="1" applyFill="1" applyBorder="1" applyAlignment="1">
      <alignment horizontal="center" vertical="center" wrapText="1"/>
    </xf>
    <xf numFmtId="0" fontId="4" fillId="0" borderId="13" xfId="0" applyFont="1" applyBorder="1" applyAlignment="1" applyProtection="1">
      <alignment horizontal="left"/>
      <protection locked="0"/>
    </xf>
    <xf numFmtId="0" fontId="4" fillId="0" borderId="15" xfId="0" applyFont="1" applyBorder="1" applyAlignment="1" applyProtection="1">
      <alignment horizontal="left"/>
      <protection locked="0"/>
    </xf>
    <xf numFmtId="0" fontId="4" fillId="0" borderId="26" xfId="0" applyFont="1" applyBorder="1" applyAlignment="1" applyProtection="1">
      <alignment horizontal="left"/>
      <protection locked="0"/>
    </xf>
    <xf numFmtId="0" fontId="4" fillId="5" borderId="24" xfId="0" applyFont="1" applyFill="1" applyBorder="1" applyAlignment="1" applyProtection="1">
      <alignment horizontal="center" vertical="center"/>
      <protection locked="0"/>
    </xf>
    <xf numFmtId="0" fontId="0" fillId="0" borderId="27" xfId="0" applyBorder="1" applyAlignment="1" applyProtection="1">
      <alignment horizontal="left" vertical="center" wrapText="1"/>
      <protection locked="0"/>
    </xf>
    <xf numFmtId="0" fontId="0" fillId="0" borderId="6" xfId="0" applyBorder="1" applyAlignment="1" applyProtection="1">
      <alignment horizontal="left" vertical="center"/>
      <protection locked="0"/>
    </xf>
    <xf numFmtId="0" fontId="0" fillId="0" borderId="22" xfId="0" applyBorder="1" applyAlignment="1" applyProtection="1">
      <alignment horizontal="left" vertical="center"/>
      <protection locked="0"/>
    </xf>
    <xf numFmtId="0" fontId="0" fillId="0" borderId="28" xfId="0"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29" xfId="0" applyBorder="1" applyAlignment="1" applyProtection="1">
      <alignment horizontal="left" vertical="center"/>
      <protection locked="0"/>
    </xf>
    <xf numFmtId="0" fontId="4" fillId="4" borderId="7" xfId="0" applyFont="1" applyFill="1" applyBorder="1" applyAlignment="1">
      <alignment horizontal="left" vertical="center" wrapText="1"/>
    </xf>
    <xf numFmtId="0" fontId="4" fillId="4" borderId="8" xfId="0" applyFont="1" applyFill="1" applyBorder="1" applyAlignment="1">
      <alignment horizontal="left" vertical="center" wrapText="1"/>
    </xf>
    <xf numFmtId="0" fontId="0" fillId="4" borderId="28" xfId="0" applyFill="1" applyBorder="1" applyAlignment="1">
      <alignment horizontal="left" vertical="center" wrapText="1"/>
    </xf>
    <xf numFmtId="0" fontId="0" fillId="4" borderId="0" xfId="0" applyFill="1" applyAlignment="1">
      <alignment horizontal="left" vertical="center" wrapText="1"/>
    </xf>
    <xf numFmtId="0" fontId="0" fillId="4" borderId="11" xfId="0" applyFill="1" applyBorder="1" applyAlignment="1">
      <alignment horizontal="center" vertical="center" wrapText="1"/>
    </xf>
    <xf numFmtId="0" fontId="0" fillId="4" borderId="0" xfId="0" applyFill="1" applyAlignment="1" applyProtection="1">
      <alignment horizontal="left" vertical="center" wrapText="1"/>
      <protection locked="0"/>
    </xf>
    <xf numFmtId="0" fontId="0" fillId="4" borderId="10" xfId="0" applyFill="1" applyBorder="1" applyAlignment="1">
      <alignment horizontal="left" vertical="center" wrapText="1"/>
    </xf>
    <xf numFmtId="0" fontId="0" fillId="4" borderId="11" xfId="0" applyFill="1" applyBorder="1" applyAlignment="1">
      <alignment horizontal="left" vertical="center" wrapText="1"/>
    </xf>
    <xf numFmtId="0" fontId="0" fillId="4" borderId="11" xfId="0" applyFill="1" applyBorder="1" applyAlignment="1" applyProtection="1">
      <alignment horizontal="left" vertical="center" wrapText="1"/>
      <protection locked="0"/>
    </xf>
    <xf numFmtId="0" fontId="4" fillId="10" borderId="37" xfId="0" applyFont="1" applyFill="1" applyBorder="1" applyAlignment="1">
      <alignment horizontal="center" vertical="center"/>
    </xf>
    <xf numFmtId="0" fontId="4" fillId="10" borderId="16" xfId="0" applyFont="1" applyFill="1" applyBorder="1" applyAlignment="1">
      <alignment horizontal="center" vertical="center"/>
    </xf>
    <xf numFmtId="0" fontId="4" fillId="10" borderId="20" xfId="0" applyFont="1" applyFill="1" applyBorder="1" applyAlignment="1">
      <alignment horizontal="center" vertical="center"/>
    </xf>
    <xf numFmtId="0" fontId="4" fillId="5" borderId="36" xfId="0" applyFont="1" applyFill="1" applyBorder="1" applyAlignment="1">
      <alignment horizontal="center" vertical="center"/>
    </xf>
    <xf numFmtId="0" fontId="4" fillId="5" borderId="37" xfId="0" applyFont="1" applyFill="1" applyBorder="1" applyAlignment="1">
      <alignment horizontal="center" vertical="center"/>
    </xf>
    <xf numFmtId="0" fontId="4" fillId="5" borderId="20" xfId="0" applyFont="1" applyFill="1" applyBorder="1" applyAlignment="1">
      <alignment horizontal="center" vertical="center"/>
    </xf>
    <xf numFmtId="0" fontId="4" fillId="5" borderId="36" xfId="0" applyFont="1" applyFill="1" applyBorder="1" applyAlignment="1">
      <alignment horizontal="center" vertical="center" wrapText="1"/>
    </xf>
    <xf numFmtId="0" fontId="0" fillId="0" borderId="36" xfId="0" applyBorder="1" applyAlignment="1">
      <alignment horizontal="center" vertical="center" wrapText="1"/>
    </xf>
    <xf numFmtId="0" fontId="0" fillId="0" borderId="36" xfId="0" applyBorder="1" applyAlignment="1">
      <alignment horizontal="center" vertical="center"/>
    </xf>
    <xf numFmtId="0" fontId="23" fillId="7" borderId="24" xfId="0" applyFont="1" applyFill="1" applyBorder="1" applyAlignment="1">
      <alignment horizontal="center" vertical="center" wrapText="1"/>
    </xf>
    <xf numFmtId="0" fontId="29" fillId="0" borderId="31"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54" xfId="0" applyFont="1" applyBorder="1" applyAlignment="1">
      <alignment horizontal="center" vertical="center" wrapText="1"/>
    </xf>
    <xf numFmtId="0" fontId="27" fillId="0" borderId="44" xfId="0" applyFont="1" applyBorder="1" applyAlignment="1">
      <alignment horizontal="center" vertical="center" wrapText="1"/>
    </xf>
    <xf numFmtId="0" fontId="29" fillId="0" borderId="35"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41" xfId="0" applyFont="1" applyBorder="1" applyAlignment="1">
      <alignment horizontal="center" vertical="center" wrapText="1"/>
    </xf>
    <xf numFmtId="0" fontId="4" fillId="18" borderId="35" xfId="0" applyFont="1" applyFill="1" applyBorder="1" applyAlignment="1">
      <alignment horizontal="center" vertical="center" textRotation="90" wrapText="1"/>
    </xf>
    <xf numFmtId="0" fontId="4" fillId="18" borderId="46" xfId="0" applyFont="1" applyFill="1" applyBorder="1" applyAlignment="1">
      <alignment horizontal="center" vertical="center" textRotation="90" wrapText="1"/>
    </xf>
    <xf numFmtId="0" fontId="4" fillId="18" borderId="48" xfId="0" applyFont="1" applyFill="1" applyBorder="1" applyAlignment="1">
      <alignment horizontal="center" vertical="center" textRotation="90" wrapText="1"/>
    </xf>
    <xf numFmtId="0" fontId="4" fillId="16" borderId="35" xfId="0" applyFont="1" applyFill="1" applyBorder="1" applyAlignment="1">
      <alignment horizontal="center" vertical="center" textRotation="90" wrapText="1"/>
    </xf>
    <xf numFmtId="0" fontId="4" fillId="16" borderId="46" xfId="0" applyFont="1" applyFill="1" applyBorder="1" applyAlignment="1">
      <alignment horizontal="center" vertical="center" textRotation="90" wrapText="1"/>
    </xf>
    <xf numFmtId="0" fontId="4" fillId="16" borderId="41" xfId="0" applyFont="1" applyFill="1" applyBorder="1" applyAlignment="1">
      <alignment horizontal="center" vertical="center" textRotation="90" wrapText="1"/>
    </xf>
    <xf numFmtId="0" fontId="0" fillId="0" borderId="0" xfId="0" applyAlignment="1">
      <alignment horizontal="center"/>
    </xf>
    <xf numFmtId="0" fontId="23" fillId="7" borderId="7" xfId="0" applyFont="1" applyFill="1" applyBorder="1" applyAlignment="1">
      <alignment horizontal="center" vertical="center" wrapText="1"/>
    </xf>
    <xf numFmtId="0" fontId="23" fillId="7" borderId="8" xfId="0" applyFont="1" applyFill="1" applyBorder="1" applyAlignment="1">
      <alignment horizontal="center" vertical="center" wrapText="1"/>
    </xf>
    <xf numFmtId="0" fontId="23" fillId="7" borderId="9" xfId="0" applyFont="1" applyFill="1" applyBorder="1" applyAlignment="1">
      <alignment horizontal="center" vertical="center" wrapText="1"/>
    </xf>
    <xf numFmtId="0" fontId="23" fillId="7" borderId="0" xfId="0" applyFont="1" applyFill="1" applyAlignment="1">
      <alignment horizontal="center" vertical="center" wrapText="1"/>
    </xf>
    <xf numFmtId="0" fontId="14" fillId="0" borderId="15" xfId="0" applyFont="1" applyBorder="1" applyAlignment="1">
      <alignment horizontal="center"/>
    </xf>
    <xf numFmtId="0" fontId="0" fillId="0" borderId="0" xfId="0" applyAlignment="1">
      <alignment horizontal="center" wrapText="1"/>
    </xf>
    <xf numFmtId="0" fontId="0" fillId="0" borderId="15" xfId="0" applyBorder="1" applyAlignment="1">
      <alignment horizontal="center"/>
    </xf>
  </cellXfs>
  <cellStyles count="2">
    <cellStyle name="Normal" xfId="0" builtinId="0"/>
    <cellStyle name="Normal 3 2 10" xfId="1" xr:uid="{00000000-0005-0000-0000-000001000000}"/>
  </cellStyles>
  <dxfs count="30">
    <dxf>
      <font>
        <b/>
        <i val="0"/>
        <strike val="0"/>
        <condense val="0"/>
        <extend val="0"/>
        <outline val="0"/>
        <shadow val="0"/>
        <u val="none"/>
        <vertAlign val="baseline"/>
        <sz val="10"/>
        <color theme="0"/>
        <name val="Calibri"/>
        <scheme val="minor"/>
      </font>
      <numFmt numFmtId="6" formatCode="#,##0;[Red]\-#,##0"/>
      <fill>
        <patternFill patternType="solid">
          <fgColor indexed="64"/>
          <bgColor rgb="FF00B05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right style="thin">
          <color indexed="64"/>
        </right>
        <top/>
        <bottom/>
        <vertical/>
        <horizontal/>
      </border>
    </dxf>
    <dxf>
      <border outline="0">
        <left style="thin">
          <color indexed="64"/>
        </left>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none">
          <fgColor indexed="64"/>
          <bgColor indexed="65"/>
        </patternFill>
      </fill>
      <alignment horizontal="center" vertical="center" textRotation="0" wrapText="1" indent="0" justifyLastLine="0" shrinkToFit="0" readingOrder="0"/>
      <protection locked="0" hidden="0"/>
    </dxf>
    <dxf>
      <border outline="0">
        <top style="thin">
          <color indexed="64"/>
        </top>
      </border>
    </dxf>
    <dxf>
      <font>
        <b/>
        <i val="0"/>
        <strike val="0"/>
        <condense val="0"/>
        <extend val="0"/>
        <outline val="0"/>
        <shadow val="0"/>
        <u val="none"/>
        <vertAlign val="baseline"/>
        <sz val="8"/>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alignment horizontal="left" textRotation="0" indent="0" justifyLastLine="0" shrinkToFit="0" readingOrder="0"/>
    </dxf>
    <dxf>
      <alignment horizontal="left" textRotation="0" indent="0" justifyLastLine="0" shrinkToFit="0" readingOrder="0"/>
    </dxf>
    <dxf>
      <border outline="0">
        <top style="thin">
          <color indexed="64"/>
        </top>
      </border>
    </dxf>
    <dxf>
      <alignment horizontal="left" textRotation="0" indent="0" justifyLastLine="0" shrinkToFit="0" readingOrder="0"/>
    </dxf>
    <dxf>
      <font>
        <b/>
        <i val="0"/>
        <strike val="0"/>
        <condense val="0"/>
        <extend val="0"/>
        <outline val="0"/>
        <shadow val="0"/>
        <u val="none"/>
        <vertAlign val="baseline"/>
        <sz val="8"/>
        <color theme="1"/>
        <name val="Arial"/>
        <scheme val="none"/>
      </font>
      <alignment horizontal="center" vertical="center" textRotation="0" wrapText="1" indent="0" justifyLastLine="0" shrinkToFit="0" readingOrder="0"/>
      <protection locked="0" hidden="0"/>
    </dxf>
    <dxf>
      <alignment horizontal="center" vertical="center" textRotation="0" wrapText="1" indent="0" justifyLastLine="0" shrinkToFit="0" readingOrder="0"/>
    </dxf>
    <dxf>
      <font>
        <color theme="0"/>
      </font>
      <fill>
        <patternFill>
          <fgColor indexed="64"/>
          <bgColor rgb="FFFF0000"/>
        </patternFill>
      </fill>
    </dxf>
    <dxf>
      <font>
        <color theme="0"/>
      </font>
      <fill>
        <patternFill>
          <fgColor indexed="64"/>
          <bgColor rgb="FFFF0000"/>
        </patternFill>
      </fill>
    </dxf>
    <dxf>
      <font>
        <color theme="0"/>
      </font>
      <fill>
        <patternFill>
          <fgColor indexed="64"/>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25FC-4090-BFB5-5E6B66573314}"/>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25FC-4090-BFB5-5E6B66573314}"/>
            </c:ext>
          </c:extLst>
        </c:ser>
        <c:ser>
          <c:idx val="2"/>
          <c:order val="2"/>
          <c:invertIfNegative val="0"/>
          <c:extLst>
            <c:ext xmlns:c16="http://schemas.microsoft.com/office/drawing/2014/chart" uri="{C3380CC4-5D6E-409C-BE32-E72D297353CC}">
              <c16:uniqueId val="{00000002-25FC-4090-BFB5-5E6B66573314}"/>
            </c:ext>
          </c:extLst>
        </c:ser>
        <c:dLbls>
          <c:showLegendKey val="0"/>
          <c:showVal val="0"/>
          <c:showCatName val="0"/>
          <c:showSerName val="0"/>
          <c:showPercent val="0"/>
          <c:showBubbleSize val="0"/>
        </c:dLbls>
        <c:gapWidth val="150"/>
        <c:shape val="box"/>
        <c:axId val="817582671"/>
        <c:axId val="106634351"/>
        <c:axId val="0"/>
      </c:bar3DChart>
      <c:catAx>
        <c:axId val="817582671"/>
        <c:scaling>
          <c:orientation val="maxMin"/>
        </c:scaling>
        <c:delete val="0"/>
        <c:axPos val="l"/>
        <c:numFmt formatCode="General" sourceLinked="1"/>
        <c:majorTickMark val="out"/>
        <c:minorTickMark val="none"/>
        <c:tickLblPos val="nextTo"/>
        <c:crossAx val="106634351"/>
        <c:crosses val="autoZero"/>
        <c:auto val="1"/>
        <c:lblAlgn val="ctr"/>
        <c:lblOffset val="100"/>
        <c:noMultiLvlLbl val="0"/>
      </c:catAx>
      <c:valAx>
        <c:axId val="106634351"/>
        <c:scaling>
          <c:orientation val="minMax"/>
        </c:scaling>
        <c:delete val="0"/>
        <c:axPos val="t"/>
        <c:majorGridlines/>
        <c:numFmt formatCode="General" sourceLinked="1"/>
        <c:majorTickMark val="out"/>
        <c:minorTickMark val="none"/>
        <c:tickLblPos val="nextTo"/>
        <c:crossAx val="817582671"/>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1B75-4B94-BA60-C9834747A4E0}"/>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1B75-4B94-BA60-C9834747A4E0}"/>
            </c:ext>
          </c:extLst>
        </c:ser>
        <c:ser>
          <c:idx val="2"/>
          <c:order val="2"/>
          <c:invertIfNegative val="0"/>
          <c:extLst>
            <c:ext xmlns:c16="http://schemas.microsoft.com/office/drawing/2014/chart" uri="{C3380CC4-5D6E-409C-BE32-E72D297353CC}">
              <c16:uniqueId val="{00000002-1B75-4B94-BA60-C9834747A4E0}"/>
            </c:ext>
          </c:extLst>
        </c:ser>
        <c:dLbls>
          <c:showLegendKey val="0"/>
          <c:showVal val="0"/>
          <c:showCatName val="0"/>
          <c:showSerName val="0"/>
          <c:showPercent val="0"/>
          <c:showBubbleSize val="0"/>
        </c:dLbls>
        <c:gapWidth val="150"/>
        <c:shape val="box"/>
        <c:axId val="891319823"/>
        <c:axId val="891322319"/>
        <c:axId val="0"/>
      </c:bar3DChart>
      <c:catAx>
        <c:axId val="891319823"/>
        <c:scaling>
          <c:orientation val="maxMin"/>
        </c:scaling>
        <c:delete val="0"/>
        <c:axPos val="l"/>
        <c:numFmt formatCode="General" sourceLinked="1"/>
        <c:majorTickMark val="out"/>
        <c:minorTickMark val="none"/>
        <c:tickLblPos val="nextTo"/>
        <c:crossAx val="891322319"/>
        <c:crosses val="autoZero"/>
        <c:auto val="1"/>
        <c:lblAlgn val="ctr"/>
        <c:lblOffset val="100"/>
        <c:noMultiLvlLbl val="0"/>
      </c:catAx>
      <c:valAx>
        <c:axId val="891322319"/>
        <c:scaling>
          <c:orientation val="minMax"/>
        </c:scaling>
        <c:delete val="0"/>
        <c:axPos val="t"/>
        <c:majorGridlines/>
        <c:numFmt formatCode="General" sourceLinked="1"/>
        <c:majorTickMark val="out"/>
        <c:minorTickMark val="none"/>
        <c:tickLblPos val="nextTo"/>
        <c:crossAx val="891319823"/>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oneCellAnchor>
    <xdr:from>
      <xdr:col>0</xdr:col>
      <xdr:colOff>95251</xdr:colOff>
      <xdr:row>0</xdr:row>
      <xdr:rowOff>35719</xdr:rowOff>
    </xdr:from>
    <xdr:ext cx="1594113" cy="699081"/>
    <xdr:pic>
      <xdr:nvPicPr>
        <xdr:cNvPr id="2" name="123 Imagen">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1" y="35719"/>
          <a:ext cx="1594113" cy="6990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4</xdr:col>
      <xdr:colOff>19050</xdr:colOff>
      <xdr:row>0</xdr:row>
      <xdr:rowOff>0</xdr:rowOff>
    </xdr:from>
    <xdr:to>
      <xdr:col>16</xdr:col>
      <xdr:colOff>171450</xdr:colOff>
      <xdr:row>31</xdr:row>
      <xdr:rowOff>100965</xdr:rowOff>
    </xdr:to>
    <xdr:graphicFrame macro="">
      <xdr:nvGraphicFramePr>
        <xdr:cNvPr id="2" name="Gráfico 1">
          <a:extLst>
            <a:ext uri="{FF2B5EF4-FFF2-40B4-BE49-F238E27FC236}">
              <a16:creationId xmlns:a16="http://schemas.microsoft.com/office/drawing/2014/main" id="{5D1580A1-BBDE-4195-8792-2B76E62EB3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0</xdr:row>
      <xdr:rowOff>0</xdr:rowOff>
    </xdr:from>
    <xdr:to>
      <xdr:col>16</xdr:col>
      <xdr:colOff>106680</xdr:colOff>
      <xdr:row>31</xdr:row>
      <xdr:rowOff>45720</xdr:rowOff>
    </xdr:to>
    <xdr:graphicFrame macro="">
      <xdr:nvGraphicFramePr>
        <xdr:cNvPr id="3" name="Gráfico 2">
          <a:extLst>
            <a:ext uri="{FF2B5EF4-FFF2-40B4-BE49-F238E27FC236}">
              <a16:creationId xmlns:a16="http://schemas.microsoft.com/office/drawing/2014/main" id="{8007E190-A4A6-4880-95E4-D2825516DF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Planning%20Tools\JOB%20PLANNING%20WORKBOOK.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Page"/>
      <sheetName val="Field Planning Instructions"/>
      <sheetName val="Document Check List"/>
      <sheetName val="Task"/>
      <sheetName val="WeldformITP"/>
      <sheetName val="Weldform ITP"/>
      <sheetName val="Scaff-form (1)"/>
      <sheetName val="Scaff-form (2)"/>
      <sheetName val="Scaff-form (3)"/>
      <sheetName val="Scaff-form (4)"/>
      <sheetName val="Scaff-form (5)"/>
      <sheetName val="Scaff-form (6)"/>
      <sheetName val="BOM"/>
      <sheetName val="Lift Plan"/>
      <sheetName val="Blind List"/>
      <sheetName val="Package Specific Notes"/>
      <sheetName val="Job Package Check List"/>
      <sheetName val="Validation"/>
      <sheetName val="Hoja1"/>
      <sheetName val="UNIDADES DE MEDIDA"/>
      <sheetName val="DESCIPCIÓN COR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2">
          <cell r="G2" t="str">
            <v>NDE</v>
          </cell>
          <cell r="H2" t="str">
            <v>Hydro</v>
          </cell>
          <cell r="I2" t="str">
            <v>Spec</v>
          </cell>
          <cell r="J2" t="str">
            <v>Weld</v>
          </cell>
          <cell r="K2" t="str">
            <v>Weld Type</v>
          </cell>
          <cell r="L2" t="str">
            <v>Size</v>
          </cell>
          <cell r="M2" t="str">
            <v>Flange Rating</v>
          </cell>
          <cell r="O2" t="str">
            <v>Blind Thickness</v>
          </cell>
        </row>
        <row r="4">
          <cell r="G4" t="str">
            <v>N/A</v>
          </cell>
          <cell r="H4" t="str">
            <v>Field</v>
          </cell>
          <cell r="I4">
            <v>105</v>
          </cell>
          <cell r="J4" t="str">
            <v>Field</v>
          </cell>
          <cell r="K4" t="str">
            <v>Butt Weld</v>
          </cell>
          <cell r="L4" t="str">
            <v>1/2"</v>
          </cell>
          <cell r="M4" t="str">
            <v>125#</v>
          </cell>
          <cell r="O4" t="str">
            <v>1/8"</v>
          </cell>
        </row>
        <row r="5">
          <cell r="G5" t="str">
            <v>PT</v>
          </cell>
          <cell r="H5" t="str">
            <v>N/A</v>
          </cell>
          <cell r="I5">
            <v>108</v>
          </cell>
          <cell r="J5" t="str">
            <v>Shop</v>
          </cell>
          <cell r="K5" t="str">
            <v>Fillet Weld</v>
          </cell>
          <cell r="L5" t="str">
            <v>3/4"</v>
          </cell>
          <cell r="M5" t="str">
            <v>150#</v>
          </cell>
          <cell r="O5" t="str">
            <v>1/4"</v>
          </cell>
        </row>
        <row r="6">
          <cell r="G6" t="str">
            <v>Shear Wave</v>
          </cell>
          <cell r="H6" t="str">
            <v>Shop</v>
          </cell>
          <cell r="I6">
            <v>114</v>
          </cell>
          <cell r="K6" t="str">
            <v>Socket Weld</v>
          </cell>
          <cell r="L6" t="str">
            <v>1"</v>
          </cell>
          <cell r="M6" t="str">
            <v>300#</v>
          </cell>
          <cell r="O6" t="str">
            <v>3/8"</v>
          </cell>
        </row>
        <row r="7">
          <cell r="G7" t="str">
            <v>UT</v>
          </cell>
          <cell r="I7">
            <v>124</v>
          </cell>
          <cell r="L7" t="str">
            <v>1.1/2"</v>
          </cell>
          <cell r="M7" t="str">
            <v>400#</v>
          </cell>
          <cell r="O7" t="str">
            <v>1/2"</v>
          </cell>
        </row>
        <row r="8">
          <cell r="G8" t="str">
            <v>X-Ray</v>
          </cell>
          <cell r="I8">
            <v>150</v>
          </cell>
          <cell r="L8" t="str">
            <v>2"</v>
          </cell>
          <cell r="M8" t="str">
            <v>600#</v>
          </cell>
          <cell r="O8" t="str">
            <v>5/8"</v>
          </cell>
        </row>
        <row r="9">
          <cell r="I9">
            <v>151</v>
          </cell>
          <cell r="L9" t="str">
            <v>2.1/2"</v>
          </cell>
          <cell r="M9" t="str">
            <v>900#</v>
          </cell>
          <cell r="O9" t="str">
            <v>7/8"</v>
          </cell>
        </row>
        <row r="10">
          <cell r="I10" t="str">
            <v>151P</v>
          </cell>
          <cell r="L10" t="str">
            <v>3"</v>
          </cell>
          <cell r="M10" t="str">
            <v>1500#</v>
          </cell>
          <cell r="O10" t="str">
            <v>1"</v>
          </cell>
        </row>
        <row r="11">
          <cell r="I11">
            <v>152</v>
          </cell>
          <cell r="L11" t="str">
            <v>4"</v>
          </cell>
          <cell r="M11" t="str">
            <v>2500#</v>
          </cell>
          <cell r="O11" t="str">
            <v>1-1/8"</v>
          </cell>
        </row>
        <row r="12">
          <cell r="I12">
            <v>154</v>
          </cell>
          <cell r="L12" t="str">
            <v>5"</v>
          </cell>
          <cell r="O12" t="str">
            <v>1-1/4"</v>
          </cell>
        </row>
        <row r="13">
          <cell r="I13">
            <v>155</v>
          </cell>
          <cell r="L13" t="str">
            <v>6"</v>
          </cell>
          <cell r="O13" t="str">
            <v>1-3/8"</v>
          </cell>
        </row>
        <row r="14">
          <cell r="I14">
            <v>156</v>
          </cell>
          <cell r="L14" t="str">
            <v>8"</v>
          </cell>
          <cell r="O14" t="str">
            <v>1-1/2"</v>
          </cell>
        </row>
        <row r="15">
          <cell r="I15">
            <v>158</v>
          </cell>
          <cell r="L15" t="str">
            <v>10"</v>
          </cell>
          <cell r="O15" t="str">
            <v>1-5/8"</v>
          </cell>
        </row>
        <row r="16">
          <cell r="I16">
            <v>159</v>
          </cell>
          <cell r="L16" t="str">
            <v>12"</v>
          </cell>
          <cell r="O16" t="str">
            <v>1-7/8"</v>
          </cell>
        </row>
        <row r="17">
          <cell r="I17">
            <v>301</v>
          </cell>
          <cell r="L17" t="str">
            <v>14"</v>
          </cell>
          <cell r="O17" t="str">
            <v>2"</v>
          </cell>
        </row>
        <row r="18">
          <cell r="I18">
            <v>302</v>
          </cell>
          <cell r="L18" t="str">
            <v>16"</v>
          </cell>
        </row>
        <row r="19">
          <cell r="I19">
            <v>305</v>
          </cell>
          <cell r="L19" t="str">
            <v>18"</v>
          </cell>
        </row>
        <row r="20">
          <cell r="I20">
            <v>306</v>
          </cell>
          <cell r="L20" t="str">
            <v>20"</v>
          </cell>
        </row>
        <row r="21">
          <cell r="I21">
            <v>308</v>
          </cell>
          <cell r="L21" t="str">
            <v>24"</v>
          </cell>
        </row>
        <row r="22">
          <cell r="I22">
            <v>309</v>
          </cell>
          <cell r="L22" t="str">
            <v>26"</v>
          </cell>
        </row>
        <row r="23">
          <cell r="I23">
            <v>355</v>
          </cell>
          <cell r="L23" t="str">
            <v>28"</v>
          </cell>
        </row>
        <row r="24">
          <cell r="I24">
            <v>356</v>
          </cell>
          <cell r="L24" t="str">
            <v>30"</v>
          </cell>
        </row>
        <row r="25">
          <cell r="I25">
            <v>601</v>
          </cell>
          <cell r="L25" t="str">
            <v>32"</v>
          </cell>
        </row>
        <row r="26">
          <cell r="I26">
            <v>602</v>
          </cell>
          <cell r="L26" t="str">
            <v>36"</v>
          </cell>
        </row>
        <row r="27">
          <cell r="I27">
            <v>605</v>
          </cell>
          <cell r="L27" t="str">
            <v>38"</v>
          </cell>
        </row>
        <row r="28">
          <cell r="I28">
            <v>606</v>
          </cell>
          <cell r="L28" t="str">
            <v>40"</v>
          </cell>
        </row>
        <row r="29">
          <cell r="I29">
            <v>608</v>
          </cell>
          <cell r="L29" t="str">
            <v>42"</v>
          </cell>
        </row>
        <row r="30">
          <cell r="I30">
            <v>609</v>
          </cell>
          <cell r="L30" t="str">
            <v>48"</v>
          </cell>
        </row>
        <row r="31">
          <cell r="I31">
            <v>901</v>
          </cell>
          <cell r="L31" t="str">
            <v>50"</v>
          </cell>
        </row>
        <row r="32">
          <cell r="I32">
            <v>1501</v>
          </cell>
          <cell r="L32" t="str">
            <v>56"</v>
          </cell>
        </row>
        <row r="33">
          <cell r="I33">
            <v>1505</v>
          </cell>
          <cell r="L33" t="str">
            <v>60"</v>
          </cell>
        </row>
        <row r="34">
          <cell r="I34">
            <v>1507</v>
          </cell>
          <cell r="L34" t="str">
            <v>72"</v>
          </cell>
        </row>
        <row r="35">
          <cell r="I35">
            <v>2505</v>
          </cell>
          <cell r="L35" t="str">
            <v>96"</v>
          </cell>
        </row>
      </sheetData>
      <sheetData sheetId="18" refreshError="1"/>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6" displayName="Tabla16" ref="C1:C3" totalsRowShown="0" headerRowDxfId="26">
  <autoFilter ref="C1:C3" xr:uid="{00000000-0009-0000-0100-000001000000}"/>
  <tableColumns count="1">
    <tableColumn id="1" xr3:uid="{00000000-0010-0000-0000-000001000000}" name="Tipo de Manto "/>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27" displayName="Tabla27" ref="D1:E69" totalsRowShown="0" headerRowDxfId="25" dataDxfId="24" tableBorderDxfId="23">
  <autoFilter ref="D1:E69" xr:uid="{00000000-0009-0000-0100-000002000000}"/>
  <sortState xmlns:xlrd2="http://schemas.microsoft.com/office/spreadsheetml/2017/richdata2" ref="D2:E20">
    <sortCondition ref="E2:E20"/>
  </sortState>
  <tableColumns count="2">
    <tableColumn id="1" xr3:uid="{00000000-0010-0000-0100-000001000000}" name="Disciplina" dataDxfId="22"/>
    <tableColumn id="2" xr3:uid="{00000000-0010-0000-0100-000002000000}" name="Columna1" dataDxf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38" displayName="Tabla38" ref="F1:F6" totalsRowShown="0" headerRowDxfId="20" tableBorderDxfId="19">
  <autoFilter ref="F1:F6" xr:uid="{00000000-0009-0000-0100-000003000000}"/>
  <tableColumns count="1">
    <tableColumn id="1" xr3:uid="{00000000-0010-0000-0200-000001000000}" name="Norma "/>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49" displayName="Tabla49" ref="G1:G3" totalsRowShown="0" headerRowDxfId="18" dataDxfId="17" tableBorderDxfId="16" dataCellStyle="Normal 3 2 10">
  <autoFilter ref="G1:G3" xr:uid="{00000000-0009-0000-0100-000004000000}"/>
  <tableColumns count="1">
    <tableColumn id="2" xr3:uid="{00000000-0010-0000-0300-000002000000}" name="Taller / Campo" dataDxfId="15" dataCellStyle="Normal 3 2 1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a4968" displayName="Tabla4968" ref="H1:J119" totalsRowShown="0" headerRowDxfId="14" dataDxfId="13" tableBorderDxfId="12" dataCellStyle="Normal 3 2 10">
  <autoFilter ref="H1:J119" xr:uid="{00000000-0009-0000-0100-000005000000}"/>
  <tableColumns count="3">
    <tableColumn id="2" xr3:uid="{00000000-0010-0000-0400-000002000000}" name="Psto Tbjo" dataDxfId="11" dataCellStyle="Normal 3 2 10"/>
    <tableColumn id="1" xr3:uid="{00000000-0010-0000-0400-000001000000}" name="Descripción Psto Tbjo" dataDxfId="10" dataCellStyle="Normal 3 2 10"/>
    <tableColumn id="3" xr3:uid="{00000000-0010-0000-0400-000003000000}" name="Clave de control Psto Tbjo" dataDxfId="9" dataCellStyle="Normal 3 2 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a49679" displayName="Tabla49679" ref="K1:L13" totalsRowShown="0" headerRowDxfId="8" dataDxfId="7" tableBorderDxfId="6" dataCellStyle="Normal 3 2 10">
  <autoFilter ref="K1:L13" xr:uid="{00000000-0009-0000-0100-000006000000}"/>
  <tableColumns count="2">
    <tableColumn id="2" xr3:uid="{00000000-0010-0000-0500-000002000000}" name="Psto Tbjo" dataDxfId="5" dataCellStyle="Normal 3 2 10"/>
    <tableColumn id="1" xr3:uid="{00000000-0010-0000-0500-000001000000}" name="Unidad" dataDxfId="4" dataCellStyle="Normal 3 2 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a7" displayName="Tabla7" ref="AB1:AD66" totalsRowShown="0" tableBorderDxfId="3">
  <autoFilter ref="AB1:AD66" xr:uid="{00000000-0009-0000-0100-000007000000}"/>
  <tableColumns count="3">
    <tableColumn id="1" xr3:uid="{00000000-0010-0000-0600-000001000000}" name="Psto Tbjo" dataDxfId="2" dataCellStyle="Normal 3 2 10"/>
    <tableColumn id="3" xr3:uid="{00000000-0010-0000-0600-000003000000}" name="Descripción Psto Tbjo" dataDxfId="1" dataCellStyle="Normal 3 2 10"/>
    <tableColumn id="2" xr3:uid="{00000000-0010-0000-0600-000002000000}" name="Clave de control Psto Tbjo"/>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a8" displayName="Tabla8" ref="P1:P5" totalsRowShown="0" headerRowDxfId="0" headerRowCellStyle="Normal 3 2 10">
  <autoFilter ref="P1:P5" xr:uid="{00000000-0009-0000-0100-000008000000}"/>
  <tableColumns count="1">
    <tableColumn id="1" xr3:uid="{00000000-0010-0000-0700-000001000000}" name="Fase"/>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6" Type="http://schemas.openxmlformats.org/officeDocument/2006/relationships/table" Target="../tables/table4.xml"/><Relationship Id="rId11" Type="http://schemas.openxmlformats.org/officeDocument/2006/relationships/comments" Target="../comments2.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outlinePr summaryBelow="0" summaryRight="0"/>
    <pageSetUpPr fitToPage="1"/>
  </sheetPr>
  <dimension ref="A1:AH46"/>
  <sheetViews>
    <sheetView tabSelected="1" view="pageBreakPreview" topLeftCell="D1" zoomScale="90" zoomScaleNormal="80" zoomScaleSheetLayoutView="90" workbookViewId="0">
      <pane ySplit="7" topLeftCell="A8" activePane="bottomLeft" state="frozen"/>
      <selection pane="bottomLeft" activeCell="N12" sqref="N12"/>
    </sheetView>
  </sheetViews>
  <sheetFormatPr baseColWidth="10" defaultColWidth="11.44140625" defaultRowHeight="14.4" x14ac:dyDescent="0.3"/>
  <cols>
    <col min="1" max="1" width="14.109375" style="44" customWidth="1"/>
    <col min="2" max="2" width="14.6640625" style="44" customWidth="1"/>
    <col min="3" max="3" width="13.5546875" style="44" customWidth="1"/>
    <col min="4" max="4" width="7.44140625" style="44" customWidth="1"/>
    <col min="5" max="5" width="12.6640625" style="44" customWidth="1"/>
    <col min="6" max="6" width="46.21875" style="44" customWidth="1"/>
    <col min="7" max="7" width="16" style="44" hidden="1" customWidth="1"/>
    <col min="8" max="8" width="12.109375" style="44" hidden="1" customWidth="1"/>
    <col min="9" max="9" width="11.109375" style="44" hidden="1" customWidth="1"/>
    <col min="10" max="10" width="10" style="44" hidden="1" customWidth="1"/>
    <col min="11" max="11" width="10.44140625" style="44" customWidth="1"/>
    <col min="12" max="12" width="8.109375" style="45" customWidth="1"/>
    <col min="13" max="13" width="14.109375" style="44" customWidth="1"/>
    <col min="14" max="14" width="13.6640625" style="44" customWidth="1"/>
    <col min="15" max="16" width="7.44140625" style="44" customWidth="1"/>
    <col min="17" max="17" width="9.6640625" style="45" customWidth="1"/>
    <col min="18" max="18" width="9" style="45" customWidth="1"/>
    <col min="19" max="19" width="8.109375" style="45" customWidth="1"/>
    <col min="20" max="21" width="11.44140625" style="45" customWidth="1"/>
    <col min="22" max="22" width="9.88671875" style="44" customWidth="1"/>
    <col min="23" max="23" width="11.88671875" style="44" customWidth="1"/>
    <col min="24" max="24" width="6.6640625" style="44" customWidth="1"/>
    <col min="25" max="25" width="9.5546875" style="44" customWidth="1"/>
    <col min="26" max="26" width="8.109375" style="44" customWidth="1"/>
    <col min="27" max="30" width="9.6640625" style="45" customWidth="1"/>
    <col min="31" max="31" width="11.33203125" style="20" customWidth="1"/>
    <col min="32" max="33" width="9.6640625" style="20" customWidth="1"/>
    <col min="34" max="16384" width="11.44140625" style="20"/>
  </cols>
  <sheetData>
    <row r="1" spans="1:34" ht="27" customHeight="1" x14ac:dyDescent="0.3">
      <c r="A1" s="240">
        <f>AB3</f>
        <v>0</v>
      </c>
      <c r="B1" s="241"/>
      <c r="C1" s="241"/>
      <c r="D1" s="241"/>
      <c r="E1" s="241"/>
      <c r="F1" s="241"/>
      <c r="G1" s="241"/>
      <c r="H1" s="241"/>
      <c r="I1" s="241"/>
      <c r="J1" s="241"/>
      <c r="K1" s="241"/>
      <c r="L1" s="241"/>
      <c r="M1" s="241"/>
      <c r="N1" s="241"/>
      <c r="O1" s="241"/>
      <c r="P1" s="241"/>
      <c r="Q1" s="241"/>
      <c r="R1" s="241"/>
      <c r="S1" s="241"/>
      <c r="T1" s="241"/>
      <c r="U1" s="241"/>
      <c r="V1" s="241"/>
      <c r="W1" s="241"/>
      <c r="X1" s="241"/>
      <c r="Y1" s="241"/>
      <c r="Z1" s="241"/>
      <c r="AA1" s="241"/>
      <c r="AB1" s="242"/>
      <c r="AC1" s="248" t="s">
        <v>936</v>
      </c>
      <c r="AD1" s="249"/>
      <c r="AE1" s="249"/>
      <c r="AF1" s="249"/>
      <c r="AG1" s="250"/>
    </row>
    <row r="2" spans="1:34" ht="32.25" customHeight="1" thickBot="1" x14ac:dyDescent="0.35">
      <c r="A2" s="243"/>
      <c r="B2" s="244"/>
      <c r="C2" s="244"/>
      <c r="D2" s="244"/>
      <c r="E2" s="244"/>
      <c r="F2" s="244"/>
      <c r="G2" s="244"/>
      <c r="H2" s="244"/>
      <c r="I2" s="244"/>
      <c r="J2" s="244"/>
      <c r="K2" s="244"/>
      <c r="L2" s="244"/>
      <c r="M2" s="244"/>
      <c r="N2" s="244"/>
      <c r="O2" s="244"/>
      <c r="P2" s="244"/>
      <c r="Q2" s="244"/>
      <c r="R2" s="244"/>
      <c r="S2" s="244"/>
      <c r="T2" s="244"/>
      <c r="U2" s="244"/>
      <c r="V2" s="244"/>
      <c r="W2" s="244"/>
      <c r="X2" s="244"/>
      <c r="Y2" s="244"/>
      <c r="Z2" s="244"/>
      <c r="AA2" s="244"/>
      <c r="AB2" s="245"/>
      <c r="AC2" s="251"/>
      <c r="AD2" s="252"/>
      <c r="AE2" s="252"/>
      <c r="AF2" s="252"/>
      <c r="AG2" s="253"/>
    </row>
    <row r="3" spans="1:34" s="25" customFormat="1" ht="22.5" customHeight="1" x14ac:dyDescent="0.3">
      <c r="A3" s="21" t="s">
        <v>0</v>
      </c>
      <c r="B3" s="246"/>
      <c r="C3" s="246"/>
      <c r="D3" s="246"/>
      <c r="E3" s="246"/>
      <c r="F3" s="246"/>
      <c r="G3" s="246"/>
      <c r="H3" s="246"/>
      <c r="I3" s="246"/>
      <c r="J3" s="246"/>
      <c r="K3" s="246"/>
      <c r="L3" s="22" t="s">
        <v>1</v>
      </c>
      <c r="M3" s="202"/>
      <c r="N3" s="202"/>
      <c r="O3" s="202"/>
      <c r="P3" s="202"/>
      <c r="Q3" s="254" t="s">
        <v>3</v>
      </c>
      <c r="R3" s="254"/>
      <c r="S3" s="23"/>
      <c r="T3" s="46"/>
      <c r="U3" s="23"/>
      <c r="V3" s="22" t="s">
        <v>4</v>
      </c>
      <c r="W3" s="198"/>
      <c r="X3" s="202"/>
      <c r="Y3" s="202"/>
      <c r="Z3" s="254" t="s">
        <v>5</v>
      </c>
      <c r="AA3" s="254"/>
      <c r="AB3" s="24"/>
      <c r="AC3" s="24"/>
      <c r="AD3" s="255" t="s">
        <v>6</v>
      </c>
      <c r="AE3" s="255"/>
      <c r="AF3" s="256"/>
      <c r="AG3" s="257"/>
    </row>
    <row r="4" spans="1:34" s="25" customFormat="1" ht="21" customHeight="1" x14ac:dyDescent="0.3">
      <c r="A4" s="26" t="s">
        <v>7</v>
      </c>
      <c r="B4" s="260"/>
      <c r="C4" s="260"/>
      <c r="D4" s="260"/>
      <c r="E4" s="260"/>
      <c r="F4" s="260"/>
      <c r="G4" s="260"/>
      <c r="H4" s="260"/>
      <c r="I4" s="260"/>
      <c r="J4" s="260"/>
      <c r="K4" s="260"/>
      <c r="L4" s="27" t="s">
        <v>8</v>
      </c>
      <c r="M4" s="198"/>
      <c r="N4" s="24"/>
      <c r="O4" s="24"/>
      <c r="P4" s="24"/>
      <c r="Q4" s="247" t="s">
        <v>9</v>
      </c>
      <c r="R4" s="247"/>
      <c r="S4" s="198"/>
      <c r="T4" s="24"/>
      <c r="U4" s="24"/>
      <c r="V4" s="28" t="s">
        <v>10</v>
      </c>
      <c r="W4" s="201"/>
      <c r="X4" s="24"/>
      <c r="Y4" s="24"/>
      <c r="Z4" s="247" t="s">
        <v>11</v>
      </c>
      <c r="AA4" s="247"/>
      <c r="AB4" s="24"/>
      <c r="AC4" s="24"/>
      <c r="AD4" s="24"/>
      <c r="AE4" s="200" t="s">
        <v>12</v>
      </c>
      <c r="AF4" s="258"/>
      <c r="AG4" s="259"/>
    </row>
    <row r="5" spans="1:34" ht="21.75" customHeight="1" x14ac:dyDescent="0.3">
      <c r="A5" s="26" t="s">
        <v>13</v>
      </c>
      <c r="B5" s="261"/>
      <c r="C5" s="261"/>
      <c r="D5" s="261"/>
      <c r="E5" s="261"/>
      <c r="F5" s="261"/>
      <c r="G5" s="261"/>
      <c r="H5" s="261"/>
      <c r="I5" s="261"/>
      <c r="J5" s="261"/>
      <c r="K5" s="261"/>
      <c r="L5" s="29" t="s">
        <v>14</v>
      </c>
      <c r="M5" s="261"/>
      <c r="N5" s="261"/>
      <c r="O5" s="261"/>
      <c r="P5" s="261"/>
      <c r="Q5" s="261"/>
      <c r="R5" s="261"/>
      <c r="S5" s="261"/>
      <c r="T5" s="261"/>
      <c r="U5" s="261"/>
      <c r="V5" s="261"/>
      <c r="W5" s="262"/>
      <c r="X5" s="263" t="s">
        <v>15</v>
      </c>
      <c r="Y5" s="264"/>
      <c r="Z5" s="264"/>
      <c r="AA5" s="264"/>
      <c r="AB5" s="263" t="s">
        <v>16</v>
      </c>
      <c r="AC5" s="264"/>
      <c r="AD5" s="264"/>
      <c r="AE5" s="264"/>
      <c r="AF5" s="264"/>
      <c r="AG5" s="267"/>
    </row>
    <row r="6" spans="1:34" ht="24" customHeight="1" thickBot="1" x14ac:dyDescent="0.35">
      <c r="A6" s="30" t="s">
        <v>17</v>
      </c>
      <c r="B6" s="272"/>
      <c r="C6" s="272"/>
      <c r="D6" s="31" t="s">
        <v>19</v>
      </c>
      <c r="E6" s="272"/>
      <c r="F6" s="272"/>
      <c r="G6" s="272"/>
      <c r="H6" s="272"/>
      <c r="I6" s="272"/>
      <c r="J6" s="272"/>
      <c r="K6" s="272"/>
      <c r="L6" s="31" t="s">
        <v>20</v>
      </c>
      <c r="M6" s="32"/>
      <c r="N6" s="199"/>
      <c r="O6" s="199"/>
      <c r="P6" s="31" t="s">
        <v>21</v>
      </c>
      <c r="Q6" s="70">
        <v>2.19</v>
      </c>
      <c r="R6" s="31"/>
      <c r="S6" s="31" t="s">
        <v>22</v>
      </c>
      <c r="T6" s="70">
        <v>1.92</v>
      </c>
      <c r="U6" s="33"/>
      <c r="V6" s="33"/>
      <c r="W6" s="33"/>
      <c r="X6" s="265"/>
      <c r="Y6" s="266"/>
      <c r="Z6" s="266"/>
      <c r="AA6" s="266"/>
      <c r="AB6" s="265"/>
      <c r="AC6" s="266"/>
      <c r="AD6" s="266"/>
      <c r="AE6" s="266"/>
      <c r="AF6" s="266"/>
      <c r="AG6" s="268"/>
    </row>
    <row r="7" spans="1:34" ht="57.6" x14ac:dyDescent="0.3">
      <c r="A7" s="47" t="s">
        <v>23</v>
      </c>
      <c r="B7" s="48" t="s">
        <v>24</v>
      </c>
      <c r="C7" s="49" t="s">
        <v>25</v>
      </c>
      <c r="D7" s="49" t="s">
        <v>26</v>
      </c>
      <c r="E7" s="50" t="s">
        <v>27</v>
      </c>
      <c r="F7" s="47" t="s">
        <v>28</v>
      </c>
      <c r="G7" s="48" t="s">
        <v>29</v>
      </c>
      <c r="H7" s="49" t="s">
        <v>30</v>
      </c>
      <c r="I7" s="51" t="s">
        <v>31</v>
      </c>
      <c r="J7" s="52" t="s">
        <v>32</v>
      </c>
      <c r="K7" s="53" t="s">
        <v>33</v>
      </c>
      <c r="L7" s="47" t="s">
        <v>34</v>
      </c>
      <c r="M7" s="47" t="s">
        <v>35</v>
      </c>
      <c r="N7" s="47" t="s">
        <v>36</v>
      </c>
      <c r="O7" s="47" t="s">
        <v>37</v>
      </c>
      <c r="P7" s="47" t="s">
        <v>1</v>
      </c>
      <c r="Q7" s="47" t="s">
        <v>38</v>
      </c>
      <c r="R7" s="47" t="s">
        <v>39</v>
      </c>
      <c r="S7" s="47" t="s">
        <v>40</v>
      </c>
      <c r="T7" s="47" t="s">
        <v>41</v>
      </c>
      <c r="U7" s="47" t="s">
        <v>42</v>
      </c>
      <c r="V7" s="47" t="s">
        <v>43</v>
      </c>
      <c r="W7" s="47" t="s">
        <v>44</v>
      </c>
      <c r="X7" s="54" t="s">
        <v>45</v>
      </c>
      <c r="Y7" s="49" t="s">
        <v>46</v>
      </c>
      <c r="Z7" s="55" t="s">
        <v>47</v>
      </c>
      <c r="AA7" s="50" t="s">
        <v>48</v>
      </c>
      <c r="AB7" s="54" t="s">
        <v>49</v>
      </c>
      <c r="AC7" s="49" t="s">
        <v>50</v>
      </c>
      <c r="AD7" s="49" t="s">
        <v>51</v>
      </c>
      <c r="AE7" s="49" t="s">
        <v>52</v>
      </c>
      <c r="AF7" s="49" t="s">
        <v>53</v>
      </c>
      <c r="AG7" s="50" t="s">
        <v>54</v>
      </c>
    </row>
    <row r="8" spans="1:34" x14ac:dyDescent="0.3">
      <c r="A8" s="231" t="str">
        <f>ENUMERAR(A8)</f>
        <v>010</v>
      </c>
      <c r="B8" s="219"/>
      <c r="C8" s="219"/>
      <c r="D8" s="231">
        <v>2000</v>
      </c>
      <c r="E8" s="231" t="e">
        <f>CLAVECONTROL(E8)</f>
        <v>#VALUE!</v>
      </c>
      <c r="F8" s="220"/>
      <c r="G8" s="231"/>
      <c r="H8" s="231"/>
      <c r="I8" s="232"/>
      <c r="J8" s="232"/>
      <c r="K8" s="232" t="str">
        <f>RAM(K8)</f>
        <v>0</v>
      </c>
      <c r="L8" s="219"/>
      <c r="M8" s="231"/>
      <c r="N8" s="231"/>
      <c r="O8" s="231"/>
      <c r="P8" s="231"/>
      <c r="Q8" s="231"/>
      <c r="R8" s="231"/>
      <c r="S8" s="231"/>
      <c r="T8" s="231">
        <f>SUMARBLANCO(T8)</f>
        <v>0</v>
      </c>
      <c r="U8" s="231">
        <f>SUMARBLANCO(U8)</f>
        <v>0</v>
      </c>
      <c r="V8" s="231"/>
      <c r="W8" s="231">
        <f>SUMARBLANCO(W8)</f>
        <v>0</v>
      </c>
      <c r="X8" s="231"/>
      <c r="Y8" s="231"/>
      <c r="Z8" s="233"/>
      <c r="AA8" s="231"/>
      <c r="AB8" s="231"/>
      <c r="AC8" s="231"/>
      <c r="AD8" s="231"/>
      <c r="AE8" s="231"/>
      <c r="AF8" s="231"/>
      <c r="AG8" s="231"/>
      <c r="AH8" s="211"/>
    </row>
    <row r="9" spans="1:34" x14ac:dyDescent="0.3">
      <c r="A9" s="234" t="str">
        <f>ENUMERAR(A9)</f>
        <v>010.010</v>
      </c>
      <c r="B9" s="235"/>
      <c r="C9" s="234"/>
      <c r="D9" s="234"/>
      <c r="E9" s="234"/>
      <c r="F9" s="236"/>
      <c r="G9" s="235"/>
      <c r="H9" s="235"/>
      <c r="I9" s="237"/>
      <c r="J9" s="237"/>
      <c r="K9" s="237"/>
      <c r="L9" s="235"/>
      <c r="M9" s="235"/>
      <c r="N9" s="235"/>
      <c r="O9" s="235"/>
      <c r="P9" s="235"/>
      <c r="Q9" s="235"/>
      <c r="R9" s="235"/>
      <c r="S9" s="235"/>
      <c r="T9" s="234">
        <f>SUMARGRIS(T9) + HHFactores(T9)</f>
        <v>0</v>
      </c>
      <c r="U9" s="234">
        <f>SUMARGRIS(U9) + HHTotales(U9)</f>
        <v>0</v>
      </c>
      <c r="V9" s="235"/>
      <c r="W9" s="235">
        <f>SUMARGRIS(W9) + CalcDURACIÓN(W9)</f>
        <v>0</v>
      </c>
      <c r="X9" s="235"/>
      <c r="Y9" s="235"/>
      <c r="Z9" s="238"/>
      <c r="AA9" s="235"/>
      <c r="AB9" s="235"/>
      <c r="AC9" s="235"/>
      <c r="AD9" s="235"/>
      <c r="AE9" s="235"/>
      <c r="AF9" s="235"/>
      <c r="AG9" s="235"/>
      <c r="AH9" s="211"/>
    </row>
    <row r="10" spans="1:34" x14ac:dyDescent="0.3">
      <c r="A10" s="218" t="str">
        <f t="shared" ref="A10:A12" si="0">ENUMERAR(A10)</f>
        <v>020</v>
      </c>
      <c r="B10" s="219"/>
      <c r="C10" s="219"/>
      <c r="D10" s="218">
        <v>2000</v>
      </c>
      <c r="E10" s="218" t="e">
        <f>CLAVECONTROL(E10)</f>
        <v>#VALUE!</v>
      </c>
      <c r="F10" s="220" t="s">
        <v>956</v>
      </c>
      <c r="G10" s="218"/>
      <c r="H10" s="218"/>
      <c r="I10" s="221"/>
      <c r="J10" s="221"/>
      <c r="K10" s="221" t="str">
        <f>RAM(K10)</f>
        <v>M</v>
      </c>
      <c r="L10" s="219"/>
      <c r="M10" s="218"/>
      <c r="N10" s="218"/>
      <c r="O10" s="218"/>
      <c r="P10" s="218"/>
      <c r="Q10" s="218"/>
      <c r="R10" s="218"/>
      <c r="S10" s="218"/>
      <c r="T10" s="218">
        <f>SUMARBLANCO(T10)</f>
        <v>0.6</v>
      </c>
      <c r="U10" s="218">
        <f>SUMARBLANCO(U10)</f>
        <v>1.2</v>
      </c>
      <c r="V10" s="218"/>
      <c r="W10" s="218">
        <f>SUMARBLANCO(W10)</f>
        <v>0.7</v>
      </c>
      <c r="X10" s="218"/>
      <c r="Y10" s="218"/>
      <c r="Z10" s="222"/>
      <c r="AA10" s="218"/>
      <c r="AB10" s="218"/>
      <c r="AC10" s="218"/>
      <c r="AD10" s="218"/>
      <c r="AE10" s="218"/>
      <c r="AF10" s="218"/>
      <c r="AG10" s="218"/>
      <c r="AH10" s="211"/>
    </row>
    <row r="11" spans="1:34" x14ac:dyDescent="0.3">
      <c r="A11" s="210" t="str">
        <f t="shared" si="0"/>
        <v>020.010</v>
      </c>
      <c r="B11" s="207"/>
      <c r="C11" s="210"/>
      <c r="D11" s="210"/>
      <c r="E11" s="210"/>
      <c r="F11" s="208" t="s">
        <v>65</v>
      </c>
      <c r="G11" s="207"/>
      <c r="H11" s="207"/>
      <c r="I11" s="209"/>
      <c r="J11" s="209"/>
      <c r="K11" s="204" t="s">
        <v>56</v>
      </c>
      <c r="L11" s="203" t="s">
        <v>57</v>
      </c>
      <c r="M11" s="203" t="s">
        <v>58</v>
      </c>
      <c r="N11" s="203" t="s">
        <v>59</v>
      </c>
      <c r="O11" s="207">
        <v>1</v>
      </c>
      <c r="P11" s="203" t="s">
        <v>60</v>
      </c>
      <c r="Q11" s="207" t="s">
        <v>66</v>
      </c>
      <c r="R11" s="203" t="s">
        <v>62</v>
      </c>
      <c r="S11" s="207">
        <v>0.55000000000000004</v>
      </c>
      <c r="T11" s="210">
        <f>SUMARGRIS(T11) + HHFactores(T11)</f>
        <v>0.55000000000000004</v>
      </c>
      <c r="U11" s="210">
        <f>SUMARGRIS(U11) + HHTotales(U11)</f>
        <v>1.2</v>
      </c>
      <c r="V11" s="207">
        <v>2</v>
      </c>
      <c r="W11" s="207">
        <f>SUMARGRIS(W11) + CalcDURACIÓN(W11)</f>
        <v>0.6</v>
      </c>
      <c r="X11" s="207"/>
      <c r="Y11" s="203"/>
      <c r="Z11" s="205"/>
      <c r="AA11" s="203"/>
      <c r="AB11" s="203"/>
      <c r="AC11" s="203"/>
      <c r="AD11" s="203"/>
      <c r="AE11" s="203"/>
      <c r="AF11" s="203"/>
      <c r="AG11" s="203"/>
      <c r="AH11" s="211" t="s">
        <v>899</v>
      </c>
    </row>
    <row r="12" spans="1:34" x14ac:dyDescent="0.3">
      <c r="A12" s="206" t="str">
        <f t="shared" si="0"/>
        <v>020.020</v>
      </c>
      <c r="B12" s="203"/>
      <c r="C12" s="206"/>
      <c r="D12" s="206"/>
      <c r="E12" s="206"/>
      <c r="F12" s="225" t="s">
        <v>67</v>
      </c>
      <c r="G12" s="203"/>
      <c r="H12" s="203"/>
      <c r="I12" s="204"/>
      <c r="J12" s="204"/>
      <c r="K12" s="204" t="s">
        <v>56</v>
      </c>
      <c r="L12" s="203" t="s">
        <v>57</v>
      </c>
      <c r="M12" s="203" t="s">
        <v>58</v>
      </c>
      <c r="N12" s="203" t="s">
        <v>59</v>
      </c>
      <c r="O12" s="203">
        <v>1</v>
      </c>
      <c r="P12" s="203" t="s">
        <v>60</v>
      </c>
      <c r="Q12" s="203" t="s">
        <v>68</v>
      </c>
      <c r="R12" s="203" t="s">
        <v>62</v>
      </c>
      <c r="S12" s="203">
        <v>0</v>
      </c>
      <c r="T12" s="206">
        <f>SUMARGRIS(T12) + HHFactores(T12)</f>
        <v>0</v>
      </c>
      <c r="U12" s="206">
        <f>SUMARGRIS(U12) + HHTotales(U12)</f>
        <v>0</v>
      </c>
      <c r="V12" s="203">
        <v>1</v>
      </c>
      <c r="W12" s="203">
        <v>0.1</v>
      </c>
      <c r="X12" s="203"/>
      <c r="Y12" s="203"/>
      <c r="Z12" s="205"/>
      <c r="AA12" s="203"/>
      <c r="AB12" s="203"/>
      <c r="AC12" s="203"/>
      <c r="AD12" s="203"/>
      <c r="AE12" s="203"/>
      <c r="AF12" s="203"/>
      <c r="AG12" s="203"/>
      <c r="AH12" s="211" t="s">
        <v>68</v>
      </c>
    </row>
    <row r="13" spans="1:34" s="25" customFormat="1" x14ac:dyDescent="0.3">
      <c r="A13" s="56"/>
      <c r="B13" s="57"/>
      <c r="C13" s="57"/>
      <c r="D13" s="58"/>
      <c r="E13" s="57"/>
      <c r="F13" s="59" t="s">
        <v>69</v>
      </c>
      <c r="G13" s="60"/>
      <c r="H13" s="60"/>
      <c r="I13" s="60"/>
      <c r="J13" s="60"/>
      <c r="K13" s="57"/>
      <c r="L13" s="61"/>
      <c r="M13" s="62"/>
      <c r="N13" s="62"/>
      <c r="O13" s="63"/>
      <c r="P13" s="64"/>
      <c r="Q13" s="65"/>
      <c r="R13" s="65"/>
      <c r="S13" s="66"/>
      <c r="T13" s="67">
        <f>SUMARTOTAL(T13)</f>
        <v>0.6</v>
      </c>
      <c r="U13" s="67">
        <f>SUMARTOTAL(U13)</f>
        <v>1.2</v>
      </c>
      <c r="V13" s="66"/>
      <c r="W13" s="67">
        <f>SUMARTOTAL(W13)</f>
        <v>0.7</v>
      </c>
      <c r="X13" s="68"/>
      <c r="Y13" s="68"/>
      <c r="Z13" s="69"/>
      <c r="AA13" s="68"/>
      <c r="AB13" s="68"/>
      <c r="AC13" s="68"/>
      <c r="AD13" s="68"/>
      <c r="AE13" s="68"/>
      <c r="AF13" s="68"/>
      <c r="AG13" s="68"/>
    </row>
    <row r="14" spans="1:34" x14ac:dyDescent="0.3">
      <c r="A14" s="269"/>
      <c r="B14" s="270"/>
      <c r="C14" s="270"/>
      <c r="D14" s="270"/>
      <c r="E14" s="270"/>
      <c r="F14" s="270"/>
      <c r="G14" s="270"/>
      <c r="H14" s="270"/>
      <c r="I14" s="270"/>
      <c r="J14" s="270"/>
      <c r="K14" s="270"/>
      <c r="L14" s="270"/>
      <c r="M14" s="270"/>
      <c r="N14" s="270"/>
      <c r="O14" s="270"/>
      <c r="P14" s="270"/>
      <c r="Q14" s="270"/>
      <c r="R14" s="270"/>
      <c r="S14" s="270"/>
      <c r="T14" s="270"/>
      <c r="U14" s="270"/>
      <c r="V14" s="270"/>
      <c r="W14" s="270"/>
      <c r="X14" s="270"/>
      <c r="Y14" s="270"/>
      <c r="Z14" s="270"/>
      <c r="AA14" s="270"/>
      <c r="AB14" s="270"/>
      <c r="AC14" s="270"/>
      <c r="AD14" s="270"/>
      <c r="AE14" s="270"/>
      <c r="AF14" s="270"/>
      <c r="AG14" s="271"/>
    </row>
    <row r="15" spans="1:34" x14ac:dyDescent="0.3">
      <c r="A15" s="273"/>
      <c r="B15" s="274"/>
      <c r="C15" s="274"/>
      <c r="D15" s="274"/>
      <c r="E15" s="274"/>
      <c r="F15" s="274"/>
      <c r="G15" s="274"/>
      <c r="H15" s="274"/>
      <c r="I15" s="274"/>
      <c r="J15" s="274"/>
      <c r="K15" s="274"/>
      <c r="L15" s="274"/>
      <c r="M15" s="274"/>
      <c r="N15" s="274"/>
      <c r="O15" s="274"/>
      <c r="P15" s="274"/>
      <c r="Q15" s="274"/>
      <c r="R15" s="274"/>
      <c r="S15" s="274"/>
      <c r="T15" s="274"/>
      <c r="U15" s="274"/>
      <c r="V15" s="274"/>
      <c r="W15" s="274"/>
      <c r="X15" s="274"/>
      <c r="Y15" s="274"/>
      <c r="Z15" s="274"/>
      <c r="AA15" s="274"/>
      <c r="AB15" s="274"/>
      <c r="AC15" s="274"/>
      <c r="AD15" s="274"/>
      <c r="AE15" s="274"/>
      <c r="AF15" s="274"/>
      <c r="AG15" s="275"/>
    </row>
    <row r="16" spans="1:34" ht="15" thickBot="1" x14ac:dyDescent="0.35">
      <c r="A16" s="276"/>
      <c r="B16" s="277"/>
      <c r="C16" s="277"/>
      <c r="D16" s="277"/>
      <c r="E16" s="277"/>
      <c r="F16" s="277"/>
      <c r="G16" s="277"/>
      <c r="H16" s="277"/>
      <c r="I16" s="277"/>
      <c r="J16" s="277"/>
      <c r="K16" s="277"/>
      <c r="L16" s="277"/>
      <c r="M16" s="277"/>
      <c r="N16" s="277"/>
      <c r="O16" s="277"/>
      <c r="P16" s="277"/>
      <c r="Q16" s="277"/>
      <c r="R16" s="277"/>
      <c r="S16" s="277"/>
      <c r="T16" s="277"/>
      <c r="U16" s="277"/>
      <c r="V16" s="277"/>
      <c r="W16" s="277"/>
      <c r="X16" s="277"/>
      <c r="Y16" s="277"/>
      <c r="Z16" s="277"/>
      <c r="AA16" s="277"/>
      <c r="AB16" s="277"/>
      <c r="AC16" s="277"/>
      <c r="AD16" s="277"/>
      <c r="AE16" s="277"/>
      <c r="AF16" s="277"/>
      <c r="AG16" s="278"/>
    </row>
    <row r="17" spans="1:33" ht="15" customHeight="1" x14ac:dyDescent="0.3">
      <c r="A17" s="279" t="s">
        <v>70</v>
      </c>
      <c r="B17" s="280"/>
      <c r="C17" s="34"/>
      <c r="D17" s="35"/>
      <c r="E17" s="35"/>
      <c r="F17" s="36"/>
      <c r="G17" s="216"/>
      <c r="H17" s="217"/>
      <c r="I17" s="35"/>
      <c r="J17" s="35"/>
      <c r="K17" s="217" t="s">
        <v>71</v>
      </c>
      <c r="L17" s="37"/>
      <c r="M17" s="35"/>
      <c r="N17" s="35"/>
      <c r="O17" s="35"/>
      <c r="P17" s="35"/>
      <c r="Q17" s="35"/>
      <c r="R17" s="35"/>
      <c r="S17" s="35"/>
      <c r="T17" s="35"/>
      <c r="U17" s="35"/>
      <c r="V17" s="35"/>
      <c r="W17" s="35"/>
      <c r="X17" s="35"/>
      <c r="Y17" s="35"/>
      <c r="Z17" s="35"/>
      <c r="AA17" s="35"/>
      <c r="AB17" s="35"/>
      <c r="AC17" s="35"/>
      <c r="AD17" s="35"/>
      <c r="AE17" s="35"/>
      <c r="AF17" s="35"/>
      <c r="AG17" s="36"/>
    </row>
    <row r="18" spans="1:33" x14ac:dyDescent="0.3">
      <c r="A18" s="38"/>
      <c r="B18" s="39"/>
      <c r="C18" s="39"/>
      <c r="D18" s="39"/>
      <c r="E18" s="39"/>
      <c r="F18" s="40"/>
      <c r="G18" s="38"/>
      <c r="H18" s="39"/>
      <c r="I18" s="39"/>
      <c r="J18" s="39"/>
      <c r="K18" s="39"/>
      <c r="L18" s="41"/>
      <c r="M18" s="39"/>
      <c r="N18" s="39"/>
      <c r="O18" s="39"/>
      <c r="P18" s="39"/>
      <c r="Q18" s="39"/>
      <c r="R18" s="39"/>
      <c r="S18" s="39"/>
      <c r="T18" s="39"/>
      <c r="U18" s="39"/>
      <c r="V18" s="39"/>
      <c r="W18" s="39"/>
      <c r="X18" s="39"/>
      <c r="Y18" s="39"/>
      <c r="Z18" s="39"/>
      <c r="AA18" s="39"/>
      <c r="AB18" s="39"/>
      <c r="AC18" s="39"/>
      <c r="AD18" s="39"/>
      <c r="AE18" s="39"/>
      <c r="AF18" s="39"/>
      <c r="AG18" s="40"/>
    </row>
    <row r="19" spans="1:33" x14ac:dyDescent="0.3">
      <c r="A19" s="38"/>
      <c r="B19" s="39"/>
      <c r="C19" s="39"/>
      <c r="D19" s="39"/>
      <c r="E19" s="39"/>
      <c r="F19" s="40"/>
      <c r="G19" s="38"/>
      <c r="H19" s="39"/>
      <c r="I19" s="39"/>
      <c r="J19" s="39"/>
      <c r="K19" s="39"/>
      <c r="L19" s="41"/>
      <c r="M19" s="39"/>
      <c r="N19" s="39"/>
      <c r="O19" s="39"/>
      <c r="P19" s="39"/>
      <c r="Q19" s="39"/>
      <c r="R19" s="39"/>
      <c r="S19" s="39"/>
      <c r="T19" s="39"/>
      <c r="U19" s="39"/>
      <c r="V19" s="39"/>
      <c r="W19" s="39"/>
      <c r="X19" s="39"/>
      <c r="Y19" s="39"/>
      <c r="Z19" s="39"/>
      <c r="AA19" s="39"/>
      <c r="AB19" s="39"/>
      <c r="AC19" s="39"/>
      <c r="AD19" s="39"/>
      <c r="AE19" s="39"/>
      <c r="AF19" s="39"/>
      <c r="AG19" s="40"/>
    </row>
    <row r="20" spans="1:33" ht="15" thickBot="1" x14ac:dyDescent="0.35">
      <c r="A20" s="281" t="s">
        <v>72</v>
      </c>
      <c r="B20" s="282"/>
      <c r="C20" s="283"/>
      <c r="D20" s="283"/>
      <c r="E20" s="283"/>
      <c r="F20" s="40"/>
      <c r="G20" s="38"/>
      <c r="H20" s="39"/>
      <c r="I20" s="39"/>
      <c r="J20" s="39"/>
      <c r="K20" s="39" t="s">
        <v>72</v>
      </c>
      <c r="L20" s="39"/>
      <c r="M20" s="283"/>
      <c r="N20" s="283"/>
      <c r="O20" s="283"/>
      <c r="P20" s="39"/>
      <c r="Q20" s="39"/>
      <c r="R20" s="39"/>
      <c r="S20" s="39"/>
      <c r="T20" s="39"/>
      <c r="U20" s="39"/>
      <c r="V20" s="39"/>
      <c r="W20" s="39"/>
      <c r="X20" s="39"/>
      <c r="Y20" s="39"/>
      <c r="Z20" s="39"/>
      <c r="AA20" s="39"/>
      <c r="AB20" s="39"/>
      <c r="AC20" s="39"/>
      <c r="AD20" s="39"/>
      <c r="AE20" s="39"/>
      <c r="AF20" s="39"/>
      <c r="AG20" s="40"/>
    </row>
    <row r="21" spans="1:33" x14ac:dyDescent="0.3">
      <c r="A21" s="281" t="s">
        <v>73</v>
      </c>
      <c r="B21" s="282"/>
      <c r="C21" s="284"/>
      <c r="D21" s="284"/>
      <c r="E21" s="284"/>
      <c r="F21" s="40"/>
      <c r="G21" s="38"/>
      <c r="H21" s="39"/>
      <c r="I21" s="39"/>
      <c r="J21" s="39"/>
      <c r="K21" s="39" t="s">
        <v>73</v>
      </c>
      <c r="L21" s="39"/>
      <c r="M21" s="284"/>
      <c r="N21" s="284"/>
      <c r="O21" s="284"/>
      <c r="P21" s="39"/>
      <c r="Q21" s="39"/>
      <c r="R21" s="39"/>
      <c r="S21" s="39"/>
      <c r="T21" s="39"/>
      <c r="U21" s="39"/>
      <c r="V21" s="39"/>
      <c r="W21" s="39"/>
      <c r="X21" s="39"/>
      <c r="Y21" s="39"/>
      <c r="Z21" s="39"/>
      <c r="AA21" s="39"/>
      <c r="AB21" s="39"/>
      <c r="AC21" s="39"/>
      <c r="AD21" s="39"/>
      <c r="AE21" s="39"/>
      <c r="AF21" s="39"/>
      <c r="AG21" s="40"/>
    </row>
    <row r="22" spans="1:33" ht="15" thickBot="1" x14ac:dyDescent="0.35">
      <c r="A22" s="285" t="s">
        <v>74</v>
      </c>
      <c r="B22" s="286"/>
      <c r="C22" s="287"/>
      <c r="D22" s="287"/>
      <c r="E22" s="214"/>
      <c r="F22" s="42"/>
      <c r="G22" s="215"/>
      <c r="H22" s="43"/>
      <c r="I22" s="43"/>
      <c r="J22" s="43"/>
      <c r="K22" s="43" t="s">
        <v>74</v>
      </c>
      <c r="L22" s="43"/>
      <c r="M22" s="287"/>
      <c r="N22" s="287"/>
      <c r="O22" s="226"/>
      <c r="P22" s="43"/>
      <c r="Q22" s="43"/>
      <c r="R22" s="43"/>
      <c r="S22" s="43"/>
      <c r="T22" s="43"/>
      <c r="U22" s="43"/>
      <c r="V22" s="43"/>
      <c r="W22" s="43"/>
      <c r="X22" s="43"/>
      <c r="Y22" s="43"/>
      <c r="Z22" s="43"/>
      <c r="AA22" s="43"/>
      <c r="AB22" s="43"/>
      <c r="AC22" s="43"/>
      <c r="AD22" s="43"/>
      <c r="AE22" s="43"/>
      <c r="AF22" s="43"/>
      <c r="AG22" s="42"/>
    </row>
    <row r="23" spans="1:33" x14ac:dyDescent="0.3">
      <c r="A23" s="223"/>
      <c r="B23" s="223"/>
      <c r="C23" s="224"/>
      <c r="D23" s="224"/>
      <c r="E23" s="223"/>
      <c r="F23" s="106"/>
      <c r="G23" s="106"/>
      <c r="H23" s="106"/>
      <c r="I23" s="106"/>
      <c r="J23" s="106"/>
      <c r="K23" s="106"/>
      <c r="L23" s="3"/>
      <c r="M23" s="3"/>
      <c r="N23" s="3"/>
      <c r="O23" s="106"/>
      <c r="P23" s="106"/>
      <c r="Q23" s="106"/>
      <c r="R23" s="106"/>
      <c r="S23" s="106"/>
      <c r="T23" s="106"/>
      <c r="U23" s="106"/>
      <c r="V23" s="106"/>
      <c r="W23" s="106"/>
      <c r="X23" s="106"/>
      <c r="Y23" s="106"/>
      <c r="Z23" s="106"/>
      <c r="AA23" s="106"/>
      <c r="AB23" s="106"/>
      <c r="AC23" s="106"/>
      <c r="AD23" s="106"/>
      <c r="AE23" s="106"/>
      <c r="AF23" s="106"/>
      <c r="AG23" s="106"/>
    </row>
    <row r="24" spans="1:33" ht="21" x14ac:dyDescent="0.4">
      <c r="A24" s="212" t="s">
        <v>75</v>
      </c>
    </row>
    <row r="25" spans="1:33" x14ac:dyDescent="0.3">
      <c r="A25" s="44" t="s">
        <v>76</v>
      </c>
    </row>
    <row r="26" spans="1:33" x14ac:dyDescent="0.3">
      <c r="A26" s="44" t="s">
        <v>77</v>
      </c>
      <c r="C26" s="44" t="s">
        <v>78</v>
      </c>
    </row>
    <row r="27" spans="1:33" x14ac:dyDescent="0.3">
      <c r="A27" s="227"/>
      <c r="C27" s="228"/>
      <c r="F27" s="227"/>
      <c r="K27" s="228"/>
    </row>
    <row r="28" spans="1:33" x14ac:dyDescent="0.3">
      <c r="A28" s="44" t="s">
        <v>79</v>
      </c>
      <c r="C28" s="228"/>
      <c r="F28" s="227"/>
      <c r="K28" s="228"/>
    </row>
    <row r="29" spans="1:33" x14ac:dyDescent="0.3">
      <c r="A29" s="44" t="s">
        <v>80</v>
      </c>
      <c r="C29" s="228"/>
      <c r="F29" s="227"/>
      <c r="K29" s="228"/>
    </row>
    <row r="30" spans="1:33" x14ac:dyDescent="0.3">
      <c r="A30" s="44" t="s">
        <v>81</v>
      </c>
      <c r="C30" s="228"/>
      <c r="F30" s="227"/>
      <c r="K30" s="228"/>
    </row>
    <row r="31" spans="1:33" x14ac:dyDescent="0.3">
      <c r="A31" s="44" t="s">
        <v>82</v>
      </c>
      <c r="C31" s="228"/>
      <c r="F31" s="227"/>
      <c r="K31" s="228"/>
    </row>
    <row r="32" spans="1:33" x14ac:dyDescent="0.3">
      <c r="C32" s="228"/>
      <c r="F32" s="227"/>
      <c r="K32" s="228"/>
    </row>
    <row r="33" spans="1:11" x14ac:dyDescent="0.3">
      <c r="C33" s="228"/>
      <c r="F33" s="227"/>
      <c r="K33" s="228"/>
    </row>
    <row r="34" spans="1:11" x14ac:dyDescent="0.3">
      <c r="C34" s="228"/>
      <c r="F34" s="227"/>
      <c r="K34" s="228"/>
    </row>
    <row r="35" spans="1:11" x14ac:dyDescent="0.3">
      <c r="C35" s="228"/>
    </row>
    <row r="36" spans="1:11" x14ac:dyDescent="0.3">
      <c r="A36" s="227"/>
      <c r="C36" s="228"/>
    </row>
    <row r="37" spans="1:11" x14ac:dyDescent="0.3">
      <c r="A37" s="227"/>
      <c r="C37" s="228"/>
    </row>
    <row r="38" spans="1:11" x14ac:dyDescent="0.3">
      <c r="A38" s="227"/>
      <c r="C38" s="228"/>
    </row>
    <row r="39" spans="1:11" x14ac:dyDescent="0.3">
      <c r="A39" s="227"/>
      <c r="C39" s="228"/>
    </row>
    <row r="40" spans="1:11" x14ac:dyDescent="0.3">
      <c r="A40" s="227"/>
      <c r="C40" s="228"/>
    </row>
    <row r="41" spans="1:11" x14ac:dyDescent="0.3">
      <c r="A41" s="227"/>
      <c r="C41" s="228"/>
    </row>
    <row r="42" spans="1:11" x14ac:dyDescent="0.3">
      <c r="C42" s="228"/>
    </row>
    <row r="43" spans="1:11" x14ac:dyDescent="0.3">
      <c r="C43" s="228"/>
    </row>
    <row r="44" spans="1:11" x14ac:dyDescent="0.3">
      <c r="C44" s="228"/>
    </row>
    <row r="45" spans="1:11" x14ac:dyDescent="0.3">
      <c r="C45" s="228"/>
    </row>
    <row r="46" spans="1:11" x14ac:dyDescent="0.3">
      <c r="A46" s="227"/>
      <c r="C46" s="228"/>
    </row>
  </sheetData>
  <sheetProtection algorithmName="SHA-512" hashValue="Fl4v9yOWfS9mybqzXIdYwbFlO++mDtORUkpjMiY85GFMN/o1y1/hDH2xgvS6TuJQqdW6Mnz4mWGWWrwjnGqvGQ==" saltValue="ITpR9OknNcxNtZ+7aldXWw==" spinCount="100000" sheet="1" objects="1" scenarios="1" formatColumns="0" formatRows="0" autoFilter="0"/>
  <autoFilter ref="A7:AG13" xr:uid="{00000000-0009-0000-0000-000000000000}"/>
  <mergeCells count="30">
    <mergeCell ref="A21:B21"/>
    <mergeCell ref="C21:E21"/>
    <mergeCell ref="A22:B22"/>
    <mergeCell ref="C22:D22"/>
    <mergeCell ref="M21:O21"/>
    <mergeCell ref="M22:N22"/>
    <mergeCell ref="A15:AG16"/>
    <mergeCell ref="A17:B17"/>
    <mergeCell ref="A20:B20"/>
    <mergeCell ref="C20:E20"/>
    <mergeCell ref="M20:O20"/>
    <mergeCell ref="M5:W5"/>
    <mergeCell ref="X5:AA6"/>
    <mergeCell ref="AB5:AG6"/>
    <mergeCell ref="A14:AG14"/>
    <mergeCell ref="B6:C6"/>
    <mergeCell ref="B5:K5"/>
    <mergeCell ref="E6:K6"/>
    <mergeCell ref="A1:AB2"/>
    <mergeCell ref="B3:K3"/>
    <mergeCell ref="Q4:R4"/>
    <mergeCell ref="Z4:AA4"/>
    <mergeCell ref="AC1:AG1"/>
    <mergeCell ref="AC2:AG2"/>
    <mergeCell ref="Q3:R3"/>
    <mergeCell ref="Z3:AA3"/>
    <mergeCell ref="AD3:AE3"/>
    <mergeCell ref="AF3:AG3"/>
    <mergeCell ref="AF4:AG4"/>
    <mergeCell ref="B4:K4"/>
  </mergeCells>
  <conditionalFormatting sqref="W12">
    <cfRule type="cellIs" dxfId="29" priority="71" operator="equal">
      <formula>0</formula>
    </cfRule>
  </conditionalFormatting>
  <conditionalFormatting sqref="W11">
    <cfRule type="cellIs" dxfId="28" priority="70" operator="equal">
      <formula>0</formula>
    </cfRule>
  </conditionalFormatting>
  <conditionalFormatting sqref="W9">
    <cfRule type="cellIs" dxfId="27" priority="1" operator="equal">
      <formula>0</formula>
    </cfRule>
  </conditionalFormatting>
  <dataValidations count="1">
    <dataValidation allowBlank="1" showInputMessage="1" showErrorMessage="1" sqref="D10:E10 G10:K10 M10:AG10 AG11 A12:J12 A11:J11 O12 S12:W12 AG12 O11 S11:W11 A10:B10 A8:B8 D8:E8 G8:K8 M8:AG8 O9 S9:W9 AG9 A9:J9" xr:uid="{00000000-0002-0000-0000-000000000000}"/>
  </dataValidations>
  <pageMargins left="0.25" right="0.25" top="0.75" bottom="0.75" header="0.3" footer="0.3"/>
  <pageSetup scale="39" fitToHeight="0" orientation="landscape" r:id="rId1"/>
  <drawing r:id="rId2"/>
  <legacyDrawing r:id="rId3"/>
  <extLst>
    <ext xmlns:x14="http://schemas.microsoft.com/office/spreadsheetml/2009/9/main" uri="{CCE6A557-97BC-4b89-ADB6-D9C93CAAB3DF}">
      <x14:dataValidations xmlns:xm="http://schemas.microsoft.com/office/excel/2006/main" count="18">
        <x14:dataValidation type="list" allowBlank="1" showInputMessage="1" showErrorMessage="1" xr:uid="{00000000-0002-0000-0000-000002000000}">
          <x14:formula1>
            <xm:f>Hoja1!$D$2:$D$69</xm:f>
          </x14:formula1>
          <xm:sqref>M12 M11 M9</xm:sqref>
        </x14:dataValidation>
        <x14:dataValidation type="list" allowBlank="1" showInputMessage="1" showErrorMessage="1" xr:uid="{00000000-0002-0000-0000-000003000000}">
          <x14:formula1>
            <xm:f>Hoja1!$P$2:$P$5</xm:f>
          </x14:formula1>
          <xm:sqref>N12 N11 N9</xm:sqref>
        </x14:dataValidation>
        <x14:dataValidation type="list" allowBlank="1" showInputMessage="1" showErrorMessage="1" xr:uid="{00000000-0002-0000-0000-000004000000}">
          <x14:formula1>
            <xm:f>Hoja1!$L$2:$L$13</xm:f>
          </x14:formula1>
          <xm:sqref>P12 P11 P9</xm:sqref>
        </x14:dataValidation>
        <x14:dataValidation type="list" allowBlank="1" showInputMessage="1" showErrorMessage="1" xr:uid="{00000000-0002-0000-0000-000005000000}">
          <x14:formula1>
            <xm:f>Hoja1!$F$2:$F$6</xm:f>
          </x14:formula1>
          <xm:sqref>Q12 Q11 Q9</xm:sqref>
        </x14:dataValidation>
        <x14:dataValidation type="list" allowBlank="1" showInputMessage="1" showErrorMessage="1" xr:uid="{00000000-0002-0000-0000-000006000000}">
          <x14:formula1>
            <xm:f>Hoja1!$G$2:$G$3</xm:f>
          </x14:formula1>
          <xm:sqref>R12 R11 R9</xm:sqref>
        </x14:dataValidation>
        <x14:dataValidation type="list" allowBlank="1" showInputMessage="1" showErrorMessage="1" xr:uid="{00000000-0002-0000-0000-000007000000}">
          <x14:formula1>
            <xm:f>Hoja1!$R$2:$R$3</xm:f>
          </x14:formula1>
          <xm:sqref>Y12 Y11 Y9</xm:sqref>
        </x14:dataValidation>
        <x14:dataValidation type="list" allowBlank="1" showInputMessage="1" showErrorMessage="1" xr:uid="{00000000-0002-0000-0000-000008000000}">
          <x14:formula1>
            <xm:f>Hoja1!$S$2:$S$3</xm:f>
          </x14:formula1>
          <xm:sqref>Z12 Z11 Z9</xm:sqref>
        </x14:dataValidation>
        <x14:dataValidation type="list" allowBlank="1" showInputMessage="1" showErrorMessage="1" xr:uid="{00000000-0002-0000-0000-000009000000}">
          <x14:formula1>
            <xm:f>Hoja1!$T$2:$T$3</xm:f>
          </x14:formula1>
          <xm:sqref>AA12 AA11 AA9</xm:sqref>
        </x14:dataValidation>
        <x14:dataValidation type="list" allowBlank="1" showInputMessage="1" showErrorMessage="1" xr:uid="{00000000-0002-0000-0000-00000A000000}">
          <x14:formula1>
            <xm:f>Hoja1!$U$2:$U$6</xm:f>
          </x14:formula1>
          <xm:sqref>AB12 AB11 AB9</xm:sqref>
        </x14:dataValidation>
        <x14:dataValidation type="list" allowBlank="1" showInputMessage="1" showErrorMessage="1" xr:uid="{00000000-0002-0000-0000-00000B000000}">
          <x14:formula1>
            <xm:f>Hoja1!$V$2:$V$4</xm:f>
          </x14:formula1>
          <xm:sqref>AC12 AC11 AC9</xm:sqref>
        </x14:dataValidation>
        <x14:dataValidation type="list" allowBlank="1" showInputMessage="1" showErrorMessage="1" xr:uid="{00000000-0002-0000-0000-00000C000000}">
          <x14:formula1>
            <xm:f>Hoja1!$W$2:$W$3</xm:f>
          </x14:formula1>
          <xm:sqref>AD12 AD11 AD9</xm:sqref>
        </x14:dataValidation>
        <x14:dataValidation type="list" allowBlank="1" showInputMessage="1" showErrorMessage="1" xr:uid="{00000000-0002-0000-0000-00000D000000}">
          <x14:formula1>
            <xm:f>Hoja1!$X$2:$X$3</xm:f>
          </x14:formula1>
          <xm:sqref>AE12 AE11 AE9</xm:sqref>
        </x14:dataValidation>
        <x14:dataValidation type="list" allowBlank="1" showInputMessage="1" showErrorMessage="1" xr:uid="{00000000-0002-0000-0000-00000E000000}">
          <x14:formula1>
            <xm:f>Hoja1!$Y$2:$Y$12</xm:f>
          </x14:formula1>
          <xm:sqref>AF12 AF11 AF9</xm:sqref>
        </x14:dataValidation>
        <x14:dataValidation type="list" allowBlank="1" showInputMessage="1" showErrorMessage="1" xr:uid="{00000000-0002-0000-0000-000010000000}">
          <x14:formula1>
            <xm:f>Hoja1!$H$2:$H$119</xm:f>
          </x14:formula1>
          <xm:sqref>C10 C8</xm:sqref>
        </x14:dataValidation>
        <x14:dataValidation type="list" allowBlank="1" showInputMessage="1" showErrorMessage="1" xr:uid="{00000000-0002-0000-0000-000011000000}">
          <x14:formula1>
            <xm:f>Hoja1!$Z$2:$Z$6</xm:f>
          </x14:formula1>
          <xm:sqref>K12 K11 K9</xm:sqref>
        </x14:dataValidation>
        <x14:dataValidation type="list" allowBlank="1" showInputMessage="1" showErrorMessage="1" xr:uid="{00000000-0002-0000-0000-00000F000000}">
          <x14:formula1>
            <xm:f>Hoja1!$C$2:$C$3</xm:f>
          </x14:formula1>
          <xm:sqref>L11 L12 L10 L8 L9</xm:sqref>
        </x14:dataValidation>
        <x14:dataValidation type="list" allowBlank="1" showInputMessage="1" showErrorMessage="1" xr:uid="{6789276D-DE15-4142-BB4F-58EF82D5428D}">
          <x14:formula1>
            <xm:f>Hoja1!$Q$2:$Q$5</xm:f>
          </x14:formula1>
          <xm:sqref>X12 X11 X9</xm:sqref>
        </x14:dataValidation>
        <x14:dataValidation type="list" allowBlank="1" showInputMessage="1" showErrorMessage="1" xr:uid="{5DBC4D9E-A8B1-4912-A1AC-B49729CF08F7}">
          <x14:formula1>
            <xm:f>Hoja1!$AH$2:$AH$33</xm:f>
          </x14:formula1>
          <xm:sqref>F10 F8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A1:F13"/>
  <sheetViews>
    <sheetView zoomScale="90" zoomScaleNormal="90" workbookViewId="0"/>
  </sheetViews>
  <sheetFormatPr baseColWidth="10" defaultColWidth="11.44140625" defaultRowHeight="14.4" x14ac:dyDescent="0.3"/>
  <sheetData>
    <row r="1" spans="1:6" x14ac:dyDescent="0.3">
      <c r="A1" s="213" t="s">
        <v>907</v>
      </c>
      <c r="B1" t="s">
        <v>908</v>
      </c>
      <c r="C1" t="s">
        <v>909</v>
      </c>
      <c r="D1" t="s">
        <v>910</v>
      </c>
      <c r="E1" t="s">
        <v>911</v>
      </c>
      <c r="F1" t="s">
        <v>912</v>
      </c>
    </row>
    <row r="2" spans="1:6" x14ac:dyDescent="0.3">
      <c r="B2" s="213"/>
      <c r="C2" s="213"/>
    </row>
    <row r="3" spans="1:6" x14ac:dyDescent="0.3">
      <c r="A3" s="213">
        <v>10</v>
      </c>
      <c r="B3" t="s">
        <v>157</v>
      </c>
      <c r="D3">
        <v>0.17</v>
      </c>
      <c r="E3">
        <f t="shared" ref="E3:E13" ca="1" si="0">SUCESORA(E3)</f>
        <v>0</v>
      </c>
      <c r="F3">
        <f t="shared" ref="F3:F13" ca="1" si="1">E3+D3</f>
        <v>0.17</v>
      </c>
    </row>
    <row r="4" spans="1:6" x14ac:dyDescent="0.3">
      <c r="A4" s="213">
        <v>20</v>
      </c>
      <c r="B4" t="s">
        <v>905</v>
      </c>
      <c r="D4">
        <v>3.05</v>
      </c>
      <c r="E4" t="e">
        <f t="shared" ca="1" si="0"/>
        <v>#VALUE!</v>
      </c>
      <c r="F4" t="e">
        <f t="shared" ca="1" si="1"/>
        <v>#VALUE!</v>
      </c>
    </row>
    <row r="5" spans="1:6" x14ac:dyDescent="0.3">
      <c r="A5">
        <v>30</v>
      </c>
      <c r="B5" t="s">
        <v>903</v>
      </c>
      <c r="D5">
        <v>1</v>
      </c>
      <c r="E5" t="e">
        <f t="shared" ca="1" si="0"/>
        <v>#VALUE!</v>
      </c>
      <c r="F5" t="e">
        <f t="shared" ca="1" si="1"/>
        <v>#VALUE!</v>
      </c>
    </row>
    <row r="6" spans="1:6" x14ac:dyDescent="0.3">
      <c r="A6">
        <v>40</v>
      </c>
      <c r="B6" t="s">
        <v>901</v>
      </c>
      <c r="D6">
        <v>12</v>
      </c>
      <c r="E6" t="e">
        <f t="shared" ca="1" si="0"/>
        <v>#VALUE!</v>
      </c>
      <c r="F6" t="e">
        <f t="shared" ca="1" si="1"/>
        <v>#VALUE!</v>
      </c>
    </row>
    <row r="7" spans="1:6" x14ac:dyDescent="0.3">
      <c r="A7" s="213">
        <v>50</v>
      </c>
      <c r="B7" t="s">
        <v>922</v>
      </c>
      <c r="D7">
        <v>2</v>
      </c>
      <c r="E7" t="e">
        <f t="shared" ca="1" si="0"/>
        <v>#VALUE!</v>
      </c>
      <c r="F7" t="e">
        <f t="shared" ca="1" si="1"/>
        <v>#VALUE!</v>
      </c>
    </row>
    <row r="8" spans="1:6" x14ac:dyDescent="0.3">
      <c r="A8" s="213">
        <v>60</v>
      </c>
      <c r="B8" s="213" t="s">
        <v>902</v>
      </c>
      <c r="C8" s="213"/>
      <c r="D8">
        <v>1</v>
      </c>
      <c r="E8" t="e">
        <f t="shared" ca="1" si="0"/>
        <v>#VALUE!</v>
      </c>
      <c r="F8" t="e">
        <f t="shared" ca="1" si="1"/>
        <v>#VALUE!</v>
      </c>
    </row>
    <row r="9" spans="1:6" x14ac:dyDescent="0.3">
      <c r="A9" s="213">
        <v>70</v>
      </c>
      <c r="B9" t="s">
        <v>904</v>
      </c>
      <c r="D9">
        <v>1</v>
      </c>
      <c r="E9" t="e">
        <f t="shared" ca="1" si="0"/>
        <v>#VALUE!</v>
      </c>
      <c r="F9" t="e">
        <f t="shared" ca="1" si="1"/>
        <v>#VALUE!</v>
      </c>
    </row>
    <row r="10" spans="1:6" x14ac:dyDescent="0.3">
      <c r="A10" s="213">
        <v>80</v>
      </c>
      <c r="B10" t="s">
        <v>900</v>
      </c>
      <c r="D10">
        <v>1</v>
      </c>
      <c r="E10" t="e">
        <f t="shared" ca="1" si="0"/>
        <v>#VALUE!</v>
      </c>
      <c r="F10" t="e">
        <f t="shared" ca="1" si="1"/>
        <v>#VALUE!</v>
      </c>
    </row>
    <row r="11" spans="1:6" x14ac:dyDescent="0.3">
      <c r="A11">
        <v>90</v>
      </c>
      <c r="B11" t="s">
        <v>906</v>
      </c>
      <c r="D11">
        <v>3.32</v>
      </c>
      <c r="E11" t="e">
        <f t="shared" ca="1" si="0"/>
        <v>#VALUE!</v>
      </c>
      <c r="F11" t="e">
        <f t="shared" ca="1" si="1"/>
        <v>#VALUE!</v>
      </c>
    </row>
    <row r="12" spans="1:6" x14ac:dyDescent="0.3">
      <c r="A12">
        <v>100</v>
      </c>
      <c r="B12" t="s">
        <v>352</v>
      </c>
      <c r="D12">
        <v>0.27</v>
      </c>
      <c r="E12" t="e">
        <f t="shared" ca="1" si="0"/>
        <v>#VALUE!</v>
      </c>
      <c r="F12" t="e">
        <f t="shared" ca="1" si="1"/>
        <v>#VALUE!</v>
      </c>
    </row>
    <row r="13" spans="1:6" x14ac:dyDescent="0.3">
      <c r="A13">
        <v>110</v>
      </c>
      <c r="B13" t="s">
        <v>64</v>
      </c>
      <c r="D13">
        <v>1.64</v>
      </c>
      <c r="E13" t="e">
        <f t="shared" ca="1" si="0"/>
        <v>#VALUE!</v>
      </c>
      <c r="F13" t="e">
        <f t="shared" ca="1" si="1"/>
        <v>#VALUE!</v>
      </c>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4"/>
  <sheetViews>
    <sheetView zoomScaleNormal="100" workbookViewId="0">
      <selection activeCell="H4" sqref="H4"/>
    </sheetView>
  </sheetViews>
  <sheetFormatPr baseColWidth="10" defaultColWidth="11.44140625" defaultRowHeight="14.4" x14ac:dyDescent="0.3"/>
  <cols>
    <col min="1" max="1" width="11.44140625" style="3"/>
    <col min="2" max="2" width="12.88671875" style="3" customWidth="1"/>
    <col min="3" max="3" width="62.33203125" style="71" customWidth="1"/>
  </cols>
  <sheetData>
    <row r="1" spans="1:3" ht="32.25" customHeight="1" x14ac:dyDescent="0.3">
      <c r="A1" s="230" t="s">
        <v>83</v>
      </c>
      <c r="B1" s="230" t="s">
        <v>84</v>
      </c>
      <c r="C1" s="230" t="s">
        <v>85</v>
      </c>
    </row>
    <row r="2" spans="1:3" ht="28.8" x14ac:dyDescent="0.3">
      <c r="A2" s="189">
        <v>43705</v>
      </c>
      <c r="B2" s="3" t="s">
        <v>86</v>
      </c>
      <c r="C2" s="71" t="s">
        <v>87</v>
      </c>
    </row>
    <row r="3" spans="1:3" ht="172.8" x14ac:dyDescent="0.3">
      <c r="A3" s="189">
        <v>43721</v>
      </c>
      <c r="B3" s="3" t="s">
        <v>88</v>
      </c>
      <c r="C3" s="71" t="s">
        <v>89</v>
      </c>
    </row>
    <row r="4" spans="1:3" ht="72" x14ac:dyDescent="0.3">
      <c r="A4" s="189">
        <v>44637</v>
      </c>
      <c r="B4" s="3" t="s">
        <v>934</v>
      </c>
      <c r="C4" s="71" t="s">
        <v>937</v>
      </c>
    </row>
  </sheetData>
  <sheetProtection algorithmName="SHA-512" hashValue="NHGHkUsoncsd4UYXngetWxSZSXCmKLoZzzINAfXlMF86t3TvAtqGMwzyIvJSiN4shLlD1Q2YGcQumXSVVQxOww==" saltValue="l4Q+BQ+80a9jfNXGB0oY7Q=="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L11"/>
  <sheetViews>
    <sheetView zoomScale="70" zoomScaleNormal="100" workbookViewId="0">
      <selection activeCell="K25" sqref="K25"/>
    </sheetView>
  </sheetViews>
  <sheetFormatPr baseColWidth="10" defaultColWidth="11.44140625" defaultRowHeight="14.4" x14ac:dyDescent="0.3"/>
  <cols>
    <col min="1" max="1" width="7.109375" style="71" customWidth="1"/>
    <col min="2" max="2" width="36.109375" style="71" customWidth="1"/>
    <col min="3" max="3" width="13.5546875" style="71" customWidth="1"/>
    <col min="4" max="4" width="11.44140625" style="71"/>
    <col min="5" max="5" width="8.6640625" style="71" customWidth="1"/>
    <col min="6" max="6" width="14.6640625" style="71" customWidth="1"/>
    <col min="7" max="7" width="21.44140625" style="71" customWidth="1"/>
    <col min="8" max="8" width="9.44140625" style="71" customWidth="1"/>
    <col min="9" max="9" width="11.109375" style="71" customWidth="1"/>
    <col min="10" max="10" width="35.5546875" style="72" customWidth="1"/>
    <col min="11" max="11" width="16.5546875" style="71" customWidth="1"/>
    <col min="12" max="12" width="38" style="71" customWidth="1"/>
    <col min="13" max="16384" width="11.44140625" style="71"/>
  </cols>
  <sheetData>
    <row r="1" spans="1:12" customFormat="1" ht="15" customHeight="1" x14ac:dyDescent="0.3">
      <c r="A1" s="291" t="s">
        <v>90</v>
      </c>
      <c r="B1" s="291"/>
      <c r="C1" s="296" t="s">
        <v>933</v>
      </c>
      <c r="D1" s="296"/>
      <c r="E1" s="296"/>
      <c r="F1" s="296"/>
      <c r="G1" s="296"/>
      <c r="H1" s="296"/>
      <c r="I1" s="294" t="s">
        <v>91</v>
      </c>
      <c r="J1" s="294"/>
      <c r="K1" s="294"/>
      <c r="L1" s="176">
        <f>Plantilla!AF4</f>
        <v>0</v>
      </c>
    </row>
    <row r="2" spans="1:12" customFormat="1" x14ac:dyDescent="0.3">
      <c r="A2" s="291" t="s">
        <v>92</v>
      </c>
      <c r="B2" s="291"/>
      <c r="C2" s="296">
        <f>Plantilla!M3</f>
        <v>0</v>
      </c>
      <c r="D2" s="296"/>
      <c r="E2" s="296"/>
      <c r="F2" s="296"/>
      <c r="G2" s="296"/>
      <c r="H2" s="296"/>
      <c r="I2" s="294" t="s">
        <v>93</v>
      </c>
      <c r="J2" s="294"/>
      <c r="K2" s="294"/>
      <c r="L2" s="176">
        <f>Plantilla!AB3</f>
        <v>0</v>
      </c>
    </row>
    <row r="3" spans="1:12" customFormat="1" ht="15.75" customHeight="1" x14ac:dyDescent="0.3">
      <c r="A3" s="292" t="s">
        <v>94</v>
      </c>
      <c r="B3" s="293"/>
      <c r="C3" s="296">
        <f>Plantilla!B3</f>
        <v>0</v>
      </c>
      <c r="D3" s="296"/>
      <c r="E3" s="296"/>
      <c r="F3" s="296"/>
      <c r="G3" s="296"/>
      <c r="H3" s="296"/>
      <c r="I3" s="294" t="s">
        <v>95</v>
      </c>
      <c r="J3" s="294"/>
      <c r="K3" s="294"/>
      <c r="L3" s="176">
        <f>Plantilla!E6</f>
        <v>0</v>
      </c>
    </row>
    <row r="4" spans="1:12" customFormat="1" ht="15.75" customHeight="1" x14ac:dyDescent="0.3">
      <c r="A4" s="292" t="s">
        <v>96</v>
      </c>
      <c r="B4" s="293"/>
      <c r="C4" s="295">
        <f>Plantilla!B5</f>
        <v>0</v>
      </c>
      <c r="D4" s="295"/>
      <c r="E4" s="295"/>
      <c r="F4" s="295"/>
      <c r="G4" s="295"/>
      <c r="H4" s="295"/>
      <c r="I4" s="78"/>
      <c r="J4" s="78"/>
      <c r="K4" s="78"/>
      <c r="L4" s="78"/>
    </row>
    <row r="5" spans="1:12" customFormat="1" ht="15.75" customHeight="1" x14ac:dyDescent="0.3">
      <c r="A5" s="288" t="s">
        <v>97</v>
      </c>
      <c r="B5" s="289"/>
      <c r="C5" s="289"/>
      <c r="D5" s="289"/>
      <c r="E5" s="289"/>
      <c r="F5" s="289"/>
      <c r="G5" s="289"/>
      <c r="H5" s="289"/>
      <c r="I5" s="289"/>
      <c r="J5" s="289"/>
      <c r="K5" s="289"/>
      <c r="L5" s="290"/>
    </row>
    <row r="6" spans="1:12" ht="52.8" x14ac:dyDescent="0.3">
      <c r="A6" s="80" t="s">
        <v>98</v>
      </c>
      <c r="B6" s="80" t="s">
        <v>99</v>
      </c>
      <c r="C6" s="80" t="s">
        <v>36</v>
      </c>
      <c r="D6" s="80" t="s">
        <v>100</v>
      </c>
      <c r="E6" s="80" t="s">
        <v>101</v>
      </c>
      <c r="F6" s="80" t="s">
        <v>102</v>
      </c>
      <c r="G6" s="81" t="s">
        <v>103</v>
      </c>
      <c r="H6" s="80" t="s">
        <v>104</v>
      </c>
      <c r="I6" s="80" t="s">
        <v>105</v>
      </c>
      <c r="J6" s="81" t="s">
        <v>106</v>
      </c>
      <c r="K6" s="80" t="s">
        <v>107</v>
      </c>
      <c r="L6" s="80" t="s">
        <v>108</v>
      </c>
    </row>
    <row r="7" spans="1:12" x14ac:dyDescent="0.3">
      <c r="A7" s="79"/>
      <c r="B7" s="82"/>
      <c r="C7" s="82"/>
      <c r="D7" s="79"/>
      <c r="E7" s="79"/>
      <c r="F7" s="79"/>
      <c r="G7" s="82"/>
      <c r="H7" s="79"/>
      <c r="I7" s="79"/>
      <c r="J7" s="82"/>
      <c r="K7" s="82"/>
      <c r="L7" s="82"/>
    </row>
    <row r="8" spans="1:12" x14ac:dyDescent="0.3">
      <c r="A8" s="79"/>
      <c r="B8" s="82"/>
      <c r="C8" s="82"/>
      <c r="D8" s="79"/>
      <c r="E8" s="79"/>
      <c r="F8" s="79"/>
      <c r="G8" s="82"/>
      <c r="H8" s="79"/>
      <c r="I8" s="79"/>
      <c r="J8" s="82"/>
      <c r="K8" s="82"/>
      <c r="L8" s="82"/>
    </row>
    <row r="9" spans="1:12" x14ac:dyDescent="0.3">
      <c r="A9" s="79"/>
      <c r="B9" s="82"/>
      <c r="C9" s="82"/>
      <c r="D9" s="79"/>
      <c r="E9" s="79"/>
      <c r="F9" s="79"/>
      <c r="G9" s="82"/>
      <c r="H9" s="79"/>
      <c r="I9" s="79"/>
      <c r="J9" s="82"/>
      <c r="K9" s="82"/>
      <c r="L9" s="82"/>
    </row>
    <row r="10" spans="1:12" x14ac:dyDescent="0.3">
      <c r="A10" s="79"/>
      <c r="B10" s="82"/>
      <c r="C10" s="82"/>
      <c r="D10" s="79"/>
      <c r="E10" s="79"/>
      <c r="F10" s="79"/>
      <c r="G10" s="82"/>
      <c r="H10" s="79"/>
      <c r="I10" s="79"/>
      <c r="J10" s="82"/>
      <c r="K10" s="82"/>
      <c r="L10" s="82"/>
    </row>
    <row r="11" spans="1:12" x14ac:dyDescent="0.3">
      <c r="A11" s="79"/>
      <c r="B11" s="82"/>
      <c r="C11" s="82"/>
      <c r="D11" s="79"/>
      <c r="E11" s="79"/>
      <c r="F11" s="79"/>
      <c r="G11" s="82"/>
      <c r="H11" s="79"/>
      <c r="I11" s="79"/>
      <c r="J11" s="82"/>
      <c r="K11" s="82"/>
      <c r="L11" s="82"/>
    </row>
  </sheetData>
  <autoFilter ref="A6:L6" xr:uid="{00000000-0009-0000-0000-000003000000}"/>
  <mergeCells count="12">
    <mergeCell ref="A5:L5"/>
    <mergeCell ref="A1:B1"/>
    <mergeCell ref="A3:B3"/>
    <mergeCell ref="I1:K1"/>
    <mergeCell ref="A4:B4"/>
    <mergeCell ref="C4:H4"/>
    <mergeCell ref="I2:K2"/>
    <mergeCell ref="I3:K3"/>
    <mergeCell ref="C1:H1"/>
    <mergeCell ref="C2:H2"/>
    <mergeCell ref="C3:H3"/>
    <mergeCell ref="A2:B2"/>
  </mergeCells>
  <pageMargins left="0.23622047244094491" right="0.23622047244094491" top="0.74803149606299213" bottom="0.74803149606299213" header="0.31496062992125984" footer="0.31496062992125984"/>
  <pageSetup scale="60" fitToHeight="0" orientation="landscape" r:id="rId1"/>
  <headerFooter>
    <oddHeader>&amp;L&amp;G&amp;CVICEPRESIDENCIA DE REFINACIÓN
PAQUETE DE TRABAJO&amp;RLISTADO DE MATERIALES
Versión 1</oddHeader>
    <oddFooter>&amp;CPágina &amp;P de &amp;N</odd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AL193"/>
  <sheetViews>
    <sheetView topLeftCell="B1" zoomScale="90" zoomScaleNormal="90" workbookViewId="0">
      <selection activeCell="G12" sqref="G12"/>
    </sheetView>
  </sheetViews>
  <sheetFormatPr baseColWidth="10" defaultColWidth="11.44140625" defaultRowHeight="14.4" x14ac:dyDescent="0.3"/>
  <cols>
    <col min="1" max="1" width="72.109375" customWidth="1"/>
    <col min="2" max="2" width="16.33203125" customWidth="1"/>
    <col min="3" max="3" width="14.109375" bestFit="1" customWidth="1"/>
    <col min="5" max="5" width="26" bestFit="1" customWidth="1"/>
    <col min="8" max="8" width="14.5546875" customWidth="1"/>
    <col min="9" max="9" width="28.109375" customWidth="1"/>
    <col min="10" max="10" width="11.33203125" customWidth="1"/>
    <col min="13" max="13" width="23.88671875" customWidth="1"/>
    <col min="15" max="15" width="13.88671875" customWidth="1"/>
    <col min="16" max="16" width="17.33203125" customWidth="1"/>
    <col min="27" max="27" width="22.88671875" customWidth="1"/>
    <col min="29" max="29" width="21.44140625" customWidth="1"/>
    <col min="30" max="30" width="15.6640625" customWidth="1"/>
    <col min="34" max="34" width="41.5546875" bestFit="1" customWidth="1"/>
  </cols>
  <sheetData>
    <row r="1" spans="1:38" ht="41.4" x14ac:dyDescent="0.3">
      <c r="A1" s="1" t="s">
        <v>109</v>
      </c>
      <c r="B1" s="2" t="s">
        <v>110</v>
      </c>
      <c r="C1" s="3" t="s">
        <v>111</v>
      </c>
      <c r="D1" s="4" t="s">
        <v>112</v>
      </c>
      <c r="E1" s="4" t="s">
        <v>113</v>
      </c>
      <c r="F1" s="4" t="s">
        <v>38</v>
      </c>
      <c r="G1" s="5" t="s">
        <v>114</v>
      </c>
      <c r="H1" s="6" t="s">
        <v>25</v>
      </c>
      <c r="I1" s="7" t="s">
        <v>115</v>
      </c>
      <c r="J1" s="7" t="s">
        <v>116</v>
      </c>
      <c r="K1" s="6" t="s">
        <v>25</v>
      </c>
      <c r="L1" s="7" t="s">
        <v>1</v>
      </c>
      <c r="M1" s="8" t="s">
        <v>117</v>
      </c>
      <c r="N1" s="8" t="s">
        <v>118</v>
      </c>
      <c r="O1" s="8" t="s">
        <v>119</v>
      </c>
      <c r="P1" s="9" t="s">
        <v>36</v>
      </c>
      <c r="Q1" s="9" t="s">
        <v>45</v>
      </c>
      <c r="R1" s="9" t="s">
        <v>46</v>
      </c>
      <c r="S1" s="9" t="s">
        <v>47</v>
      </c>
      <c r="T1" s="9" t="s">
        <v>48</v>
      </c>
      <c r="U1" s="9" t="s">
        <v>49</v>
      </c>
      <c r="V1" s="9" t="s">
        <v>50</v>
      </c>
      <c r="W1" s="9" t="s">
        <v>51</v>
      </c>
      <c r="X1" s="9" t="s">
        <v>120</v>
      </c>
      <c r="Y1" s="9" t="s">
        <v>53</v>
      </c>
      <c r="Z1" s="9" t="s">
        <v>121</v>
      </c>
      <c r="AA1" s="9" t="s">
        <v>122</v>
      </c>
      <c r="AB1" s="73" t="s">
        <v>25</v>
      </c>
      <c r="AC1" s="7" t="s">
        <v>115</v>
      </c>
      <c r="AD1" s="9" t="s">
        <v>116</v>
      </c>
      <c r="AE1" s="9" t="s">
        <v>99</v>
      </c>
      <c r="AF1" s="9" t="s">
        <v>36</v>
      </c>
      <c r="AG1" s="9" t="s">
        <v>92</v>
      </c>
      <c r="AH1" s="9" t="s">
        <v>123</v>
      </c>
      <c r="AI1" s="9" t="s">
        <v>913</v>
      </c>
      <c r="AJ1" s="9" t="s">
        <v>914</v>
      </c>
      <c r="AK1" s="9" t="s">
        <v>915</v>
      </c>
      <c r="AL1" s="9" t="s">
        <v>919</v>
      </c>
    </row>
    <row r="2" spans="1:38" x14ac:dyDescent="0.3">
      <c r="C2" t="s">
        <v>57</v>
      </c>
      <c r="D2" t="s">
        <v>124</v>
      </c>
      <c r="E2" t="s">
        <v>125</v>
      </c>
      <c r="F2" t="s">
        <v>61</v>
      </c>
      <c r="G2" s="11" t="s">
        <v>126</v>
      </c>
      <c r="H2" s="11" t="s">
        <v>127</v>
      </c>
      <c r="I2" s="11" t="s">
        <v>128</v>
      </c>
      <c r="J2" s="12" t="s">
        <v>129</v>
      </c>
      <c r="K2" s="11" t="s">
        <v>130</v>
      </c>
      <c r="L2" s="13" t="s">
        <v>131</v>
      </c>
      <c r="M2" s="15" t="s">
        <v>132</v>
      </c>
      <c r="N2" s="15" t="s">
        <v>133</v>
      </c>
      <c r="O2" t="s">
        <v>134</v>
      </c>
      <c r="P2" t="s">
        <v>135</v>
      </c>
      <c r="Q2">
        <v>1.03</v>
      </c>
      <c r="R2" s="14">
        <v>1</v>
      </c>
      <c r="S2" s="14">
        <v>1</v>
      </c>
      <c r="T2" s="14">
        <v>1</v>
      </c>
      <c r="U2" s="14">
        <v>1</v>
      </c>
      <c r="V2" s="14">
        <v>0.86</v>
      </c>
      <c r="W2" s="14">
        <v>1</v>
      </c>
      <c r="X2" s="14">
        <v>1</v>
      </c>
      <c r="Y2" s="14">
        <v>0.9</v>
      </c>
      <c r="Z2" t="s">
        <v>136</v>
      </c>
      <c r="AA2" t="s">
        <v>137</v>
      </c>
      <c r="AB2" s="74" t="s">
        <v>138</v>
      </c>
      <c r="AC2" s="11" t="s">
        <v>139</v>
      </c>
      <c r="AD2" t="s">
        <v>140</v>
      </c>
      <c r="AG2" t="s">
        <v>141</v>
      </c>
      <c r="AH2" s="239" t="s">
        <v>938</v>
      </c>
      <c r="AI2" t="s">
        <v>63</v>
      </c>
      <c r="AJ2" t="s">
        <v>63</v>
      </c>
      <c r="AK2" t="s">
        <v>916</v>
      </c>
      <c r="AL2" s="229">
        <v>2</v>
      </c>
    </row>
    <row r="3" spans="1:38" x14ac:dyDescent="0.3">
      <c r="C3" t="s">
        <v>142</v>
      </c>
      <c r="D3" t="s">
        <v>143</v>
      </c>
      <c r="E3" t="s">
        <v>144</v>
      </c>
      <c r="F3" t="s">
        <v>66</v>
      </c>
      <c r="G3" s="11" t="s">
        <v>62</v>
      </c>
      <c r="H3" s="11" t="s">
        <v>145</v>
      </c>
      <c r="I3" s="11" t="s">
        <v>146</v>
      </c>
      <c r="J3" s="12" t="s">
        <v>129</v>
      </c>
      <c r="K3" s="11" t="s">
        <v>140</v>
      </c>
      <c r="L3" s="13" t="s">
        <v>147</v>
      </c>
      <c r="M3" s="15" t="s">
        <v>148</v>
      </c>
      <c r="N3" s="15" t="s">
        <v>149</v>
      </c>
      <c r="O3" t="s">
        <v>150</v>
      </c>
      <c r="P3" t="s">
        <v>151</v>
      </c>
      <c r="Q3">
        <v>1.05</v>
      </c>
      <c r="R3" s="14">
        <v>1.1000000000000001</v>
      </c>
      <c r="S3">
        <v>1.1499999999999999</v>
      </c>
      <c r="T3">
        <v>1.1499999999999999</v>
      </c>
      <c r="U3">
        <v>1.1499999999999999</v>
      </c>
      <c r="V3" s="14">
        <v>1</v>
      </c>
      <c r="W3">
        <v>1.25</v>
      </c>
      <c r="X3" s="14">
        <v>1.2</v>
      </c>
      <c r="Y3" s="14">
        <v>1</v>
      </c>
      <c r="Z3" t="s">
        <v>152</v>
      </c>
      <c r="AA3" t="s">
        <v>153</v>
      </c>
      <c r="AB3" s="74" t="s">
        <v>154</v>
      </c>
      <c r="AC3" s="11" t="s">
        <v>155</v>
      </c>
      <c r="AD3" t="s">
        <v>140</v>
      </c>
      <c r="AG3" t="s">
        <v>156</v>
      </c>
      <c r="AH3" s="239" t="s">
        <v>939</v>
      </c>
      <c r="AI3" t="s">
        <v>66</v>
      </c>
      <c r="AJ3" t="s">
        <v>898</v>
      </c>
      <c r="AK3" t="s">
        <v>916</v>
      </c>
      <c r="AL3" s="229">
        <v>0.2</v>
      </c>
    </row>
    <row r="4" spans="1:38" x14ac:dyDescent="0.3">
      <c r="D4" t="s">
        <v>158</v>
      </c>
      <c r="E4" t="s">
        <v>159</v>
      </c>
      <c r="F4" t="s">
        <v>160</v>
      </c>
      <c r="G4" s="11"/>
      <c r="H4" s="11" t="s">
        <v>161</v>
      </c>
      <c r="I4" s="11" t="s">
        <v>162</v>
      </c>
      <c r="J4" s="12" t="s">
        <v>129</v>
      </c>
      <c r="K4" s="13"/>
      <c r="L4" s="13" t="s">
        <v>163</v>
      </c>
      <c r="M4" s="15" t="s">
        <v>164</v>
      </c>
      <c r="N4" s="15" t="s">
        <v>165</v>
      </c>
      <c r="O4" t="s">
        <v>935</v>
      </c>
      <c r="P4" t="s">
        <v>59</v>
      </c>
      <c r="Q4">
        <v>1.08</v>
      </c>
      <c r="U4">
        <v>1.25</v>
      </c>
      <c r="V4">
        <v>1.34</v>
      </c>
      <c r="Y4" s="14">
        <v>1.2</v>
      </c>
      <c r="Z4" t="s">
        <v>56</v>
      </c>
      <c r="AA4" t="s">
        <v>166</v>
      </c>
      <c r="AB4" s="74" t="s">
        <v>167</v>
      </c>
      <c r="AC4" s="11" t="s">
        <v>168</v>
      </c>
      <c r="AD4" t="s">
        <v>140</v>
      </c>
      <c r="AG4" t="s">
        <v>169</v>
      </c>
      <c r="AH4" s="239" t="s">
        <v>940</v>
      </c>
      <c r="AI4" t="s">
        <v>66</v>
      </c>
      <c r="AJ4" t="s">
        <v>898</v>
      </c>
      <c r="AK4" t="s">
        <v>916</v>
      </c>
      <c r="AL4" s="229">
        <v>0.2</v>
      </c>
    </row>
    <row r="5" spans="1:38" x14ac:dyDescent="0.3">
      <c r="D5" t="s">
        <v>170</v>
      </c>
      <c r="E5" t="s">
        <v>171</v>
      </c>
      <c r="F5" t="s">
        <v>63</v>
      </c>
      <c r="G5" s="11"/>
      <c r="H5" s="11" t="s">
        <v>172</v>
      </c>
      <c r="I5" s="11" t="s">
        <v>173</v>
      </c>
      <c r="J5" s="12" t="s">
        <v>129</v>
      </c>
      <c r="K5" s="13"/>
      <c r="L5" s="13" t="s">
        <v>174</v>
      </c>
      <c r="M5" s="15" t="s">
        <v>175</v>
      </c>
      <c r="N5" s="15" t="s">
        <v>18</v>
      </c>
      <c r="O5" t="s">
        <v>176</v>
      </c>
      <c r="P5" t="s">
        <v>177</v>
      </c>
      <c r="Q5" s="14">
        <v>1.1000000000000001</v>
      </c>
      <c r="U5" s="14">
        <v>1.5</v>
      </c>
      <c r="Y5" s="14">
        <v>1.4</v>
      </c>
      <c r="Z5" t="s">
        <v>178</v>
      </c>
      <c r="AA5" t="s">
        <v>179</v>
      </c>
      <c r="AB5" s="74" t="s">
        <v>180</v>
      </c>
      <c r="AC5" s="11" t="s">
        <v>181</v>
      </c>
      <c r="AD5" t="s">
        <v>140</v>
      </c>
      <c r="AG5" t="s">
        <v>182</v>
      </c>
      <c r="AH5" s="239" t="s">
        <v>941</v>
      </c>
      <c r="AI5" t="s">
        <v>61</v>
      </c>
      <c r="AJ5" t="s">
        <v>918</v>
      </c>
      <c r="AK5" t="s">
        <v>917</v>
      </c>
      <c r="AL5" s="229">
        <v>0.15</v>
      </c>
    </row>
    <row r="6" spans="1:38" x14ac:dyDescent="0.3">
      <c r="D6" t="s">
        <v>58</v>
      </c>
      <c r="E6" t="s">
        <v>183</v>
      </c>
      <c r="F6" t="s">
        <v>68</v>
      </c>
      <c r="G6" s="11"/>
      <c r="H6" s="11" t="s">
        <v>184</v>
      </c>
      <c r="I6" s="11" t="s">
        <v>185</v>
      </c>
      <c r="J6" s="12" t="s">
        <v>129</v>
      </c>
      <c r="K6" s="13"/>
      <c r="L6" s="13" t="s">
        <v>186</v>
      </c>
      <c r="M6" s="15" t="s">
        <v>187</v>
      </c>
      <c r="N6" s="15" t="s">
        <v>188</v>
      </c>
      <c r="U6">
        <v>1.66</v>
      </c>
      <c r="Y6" s="14">
        <v>1.6</v>
      </c>
      <c r="Z6" t="s">
        <v>189</v>
      </c>
      <c r="AA6" t="s">
        <v>190</v>
      </c>
      <c r="AB6" s="74" t="s">
        <v>191</v>
      </c>
      <c r="AC6" s="11" t="s">
        <v>192</v>
      </c>
      <c r="AD6" t="s">
        <v>140</v>
      </c>
      <c r="AG6" t="s">
        <v>2</v>
      </c>
      <c r="AH6" s="239" t="s">
        <v>942</v>
      </c>
      <c r="AI6" t="s">
        <v>66</v>
      </c>
      <c r="AJ6" t="s">
        <v>931</v>
      </c>
      <c r="AK6" t="s">
        <v>916</v>
      </c>
      <c r="AL6" s="229" t="s">
        <v>921</v>
      </c>
    </row>
    <row r="7" spans="1:38" x14ac:dyDescent="0.3">
      <c r="D7" t="s">
        <v>193</v>
      </c>
      <c r="E7" t="s">
        <v>194</v>
      </c>
      <c r="G7" s="11"/>
      <c r="H7" s="11" t="s">
        <v>195</v>
      </c>
      <c r="I7" s="11" t="s">
        <v>196</v>
      </c>
      <c r="J7" s="12" t="s">
        <v>129</v>
      </c>
      <c r="K7" s="13"/>
      <c r="L7" s="13" t="s">
        <v>197</v>
      </c>
      <c r="M7" s="15" t="s">
        <v>198</v>
      </c>
      <c r="N7" s="15" t="s">
        <v>199</v>
      </c>
      <c r="Y7" s="14">
        <v>1.8</v>
      </c>
      <c r="AA7" t="s">
        <v>200</v>
      </c>
      <c r="AB7" s="74" t="s">
        <v>201</v>
      </c>
      <c r="AC7" s="11" t="s">
        <v>202</v>
      </c>
      <c r="AD7" t="s">
        <v>140</v>
      </c>
      <c r="AG7" t="s">
        <v>203</v>
      </c>
      <c r="AH7" s="239" t="s">
        <v>943</v>
      </c>
      <c r="AI7" t="s">
        <v>66</v>
      </c>
      <c r="AJ7" t="s">
        <v>930</v>
      </c>
      <c r="AK7" t="s">
        <v>916</v>
      </c>
      <c r="AL7" s="229" t="s">
        <v>921</v>
      </c>
    </row>
    <row r="8" spans="1:38" x14ac:dyDescent="0.3">
      <c r="D8" t="s">
        <v>204</v>
      </c>
      <c r="E8" t="s">
        <v>205</v>
      </c>
      <c r="G8" s="11"/>
      <c r="H8" s="11" t="s">
        <v>206</v>
      </c>
      <c r="I8" s="11" t="s">
        <v>207</v>
      </c>
      <c r="J8" s="12" t="s">
        <v>129</v>
      </c>
      <c r="K8" s="13"/>
      <c r="L8" s="13" t="s">
        <v>208</v>
      </c>
      <c r="M8" s="15" t="s">
        <v>209</v>
      </c>
      <c r="N8" s="15" t="s">
        <v>210</v>
      </c>
      <c r="Y8" s="14">
        <v>2</v>
      </c>
      <c r="AA8" t="s">
        <v>211</v>
      </c>
      <c r="AB8" s="74" t="s">
        <v>212</v>
      </c>
      <c r="AC8" s="11" t="s">
        <v>213</v>
      </c>
      <c r="AD8" t="s">
        <v>140</v>
      </c>
      <c r="AG8" t="s">
        <v>214</v>
      </c>
      <c r="AH8" s="239" t="s">
        <v>944</v>
      </c>
      <c r="AI8" t="s">
        <v>63</v>
      </c>
      <c r="AJ8" t="s">
        <v>63</v>
      </c>
      <c r="AK8" t="s">
        <v>916</v>
      </c>
      <c r="AL8" s="229">
        <v>0.5</v>
      </c>
    </row>
    <row r="9" spans="1:38" x14ac:dyDescent="0.3">
      <c r="D9" t="s">
        <v>215</v>
      </c>
      <c r="E9" t="s">
        <v>216</v>
      </c>
      <c r="G9" s="11"/>
      <c r="H9" s="16" t="s">
        <v>217</v>
      </c>
      <c r="I9" s="11" t="s">
        <v>218</v>
      </c>
      <c r="J9" s="12" t="s">
        <v>129</v>
      </c>
      <c r="K9" s="13"/>
      <c r="L9" s="13" t="s">
        <v>219</v>
      </c>
      <c r="M9" s="15" t="s">
        <v>220</v>
      </c>
      <c r="N9" s="15" t="s">
        <v>221</v>
      </c>
      <c r="Y9" s="14">
        <v>2.2000000000000002</v>
      </c>
      <c r="AA9" t="s">
        <v>222</v>
      </c>
      <c r="AB9" s="75" t="s">
        <v>223</v>
      </c>
      <c r="AC9" s="11" t="s">
        <v>224</v>
      </c>
      <c r="AD9" t="s">
        <v>140</v>
      </c>
      <c r="AG9" t="s">
        <v>225</v>
      </c>
      <c r="AH9" s="239" t="s">
        <v>945</v>
      </c>
      <c r="AI9" t="s">
        <v>63</v>
      </c>
      <c r="AJ9" t="s">
        <v>63</v>
      </c>
      <c r="AK9" t="s">
        <v>925</v>
      </c>
      <c r="AL9" s="229">
        <v>1</v>
      </c>
    </row>
    <row r="10" spans="1:38" x14ac:dyDescent="0.3">
      <c r="D10" t="s">
        <v>226</v>
      </c>
      <c r="E10" t="s">
        <v>227</v>
      </c>
      <c r="G10" s="11"/>
      <c r="H10" s="11" t="s">
        <v>228</v>
      </c>
      <c r="I10" s="11" t="s">
        <v>229</v>
      </c>
      <c r="J10" s="12" t="s">
        <v>129</v>
      </c>
      <c r="K10" s="13"/>
      <c r="L10" s="17" t="s">
        <v>230</v>
      </c>
      <c r="M10" s="15" t="s">
        <v>231</v>
      </c>
      <c r="N10" s="15" t="s">
        <v>232</v>
      </c>
      <c r="Y10" s="14">
        <v>2.4</v>
      </c>
      <c r="AA10" t="s">
        <v>233</v>
      </c>
      <c r="AB10" s="74" t="s">
        <v>234</v>
      </c>
      <c r="AC10" s="11" t="s">
        <v>235</v>
      </c>
      <c r="AD10" t="s">
        <v>140</v>
      </c>
      <c r="AG10" t="s">
        <v>236</v>
      </c>
      <c r="AH10" s="239" t="s">
        <v>946</v>
      </c>
      <c r="AI10" t="s">
        <v>66</v>
      </c>
      <c r="AJ10" t="s">
        <v>920</v>
      </c>
      <c r="AK10" t="s">
        <v>916</v>
      </c>
      <c r="AL10" s="229" t="s">
        <v>921</v>
      </c>
    </row>
    <row r="11" spans="1:38" x14ac:dyDescent="0.3">
      <c r="D11" t="s">
        <v>237</v>
      </c>
      <c r="E11" t="s">
        <v>238</v>
      </c>
      <c r="G11" s="11"/>
      <c r="H11" s="11" t="s">
        <v>239</v>
      </c>
      <c r="I11" s="11" t="s">
        <v>240</v>
      </c>
      <c r="J11" s="12" t="s">
        <v>129</v>
      </c>
      <c r="K11" s="13"/>
      <c r="L11" s="13" t="s">
        <v>241</v>
      </c>
      <c r="M11" s="15" t="s">
        <v>242</v>
      </c>
      <c r="N11" s="15" t="s">
        <v>243</v>
      </c>
      <c r="Y11" s="14">
        <v>2.6</v>
      </c>
      <c r="AA11" t="s">
        <v>244</v>
      </c>
      <c r="AB11" s="74" t="s">
        <v>245</v>
      </c>
      <c r="AC11" s="11" t="s">
        <v>246</v>
      </c>
      <c r="AD11" t="s">
        <v>140</v>
      </c>
      <c r="AG11" t="s">
        <v>247</v>
      </c>
      <c r="AH11" s="239" t="s">
        <v>947</v>
      </c>
      <c r="AI11" t="s">
        <v>66</v>
      </c>
      <c r="AJ11" t="s">
        <v>920</v>
      </c>
      <c r="AK11" t="s">
        <v>916</v>
      </c>
      <c r="AL11" s="229" t="s">
        <v>921</v>
      </c>
    </row>
    <row r="12" spans="1:38" x14ac:dyDescent="0.3">
      <c r="D12" t="s">
        <v>248</v>
      </c>
      <c r="E12" t="s">
        <v>249</v>
      </c>
      <c r="G12" s="11"/>
      <c r="H12" s="11" t="s">
        <v>250</v>
      </c>
      <c r="I12" s="11" t="s">
        <v>251</v>
      </c>
      <c r="J12" s="12" t="s">
        <v>129</v>
      </c>
      <c r="K12" s="13"/>
      <c r="L12" s="13" t="s">
        <v>252</v>
      </c>
      <c r="M12" s="15" t="s">
        <v>253</v>
      </c>
      <c r="N12" s="15" t="s">
        <v>254</v>
      </c>
      <c r="Y12" s="14">
        <v>2.8</v>
      </c>
      <c r="AB12" s="74" t="s">
        <v>255</v>
      </c>
      <c r="AC12" s="11" t="s">
        <v>256</v>
      </c>
      <c r="AD12" t="s">
        <v>257</v>
      </c>
      <c r="AG12" t="s">
        <v>258</v>
      </c>
      <c r="AH12" s="239" t="s">
        <v>948</v>
      </c>
      <c r="AI12" t="s">
        <v>66</v>
      </c>
      <c r="AJ12" t="s">
        <v>920</v>
      </c>
      <c r="AK12" t="s">
        <v>916</v>
      </c>
      <c r="AL12" s="229" t="s">
        <v>921</v>
      </c>
    </row>
    <row r="13" spans="1:38" x14ac:dyDescent="0.3">
      <c r="D13" t="s">
        <v>259</v>
      </c>
      <c r="E13" t="s">
        <v>260</v>
      </c>
      <c r="G13" s="11"/>
      <c r="H13" s="13" t="s">
        <v>261</v>
      </c>
      <c r="I13" s="13" t="s">
        <v>262</v>
      </c>
      <c r="J13" s="12" t="s">
        <v>129</v>
      </c>
      <c r="K13" s="13"/>
      <c r="L13" s="13" t="s">
        <v>60</v>
      </c>
      <c r="M13" s="15" t="s">
        <v>263</v>
      </c>
      <c r="N13" s="15" t="s">
        <v>264</v>
      </c>
      <c r="AB13" s="76" t="s">
        <v>265</v>
      </c>
      <c r="AC13" s="13" t="s">
        <v>266</v>
      </c>
      <c r="AD13" t="s">
        <v>140</v>
      </c>
      <c r="AG13" t="s">
        <v>267</v>
      </c>
      <c r="AH13" s="239" t="s">
        <v>949</v>
      </c>
      <c r="AI13" t="s">
        <v>66</v>
      </c>
      <c r="AJ13" t="s">
        <v>927</v>
      </c>
      <c r="AK13" t="s">
        <v>925</v>
      </c>
      <c r="AL13" s="229" t="s">
        <v>921</v>
      </c>
    </row>
    <row r="14" spans="1:38" x14ac:dyDescent="0.3">
      <c r="D14" t="s">
        <v>268</v>
      </c>
      <c r="E14" t="s">
        <v>269</v>
      </c>
      <c r="G14" s="11"/>
      <c r="H14" s="13" t="s">
        <v>270</v>
      </c>
      <c r="I14" s="17" t="s">
        <v>271</v>
      </c>
      <c r="J14" s="12" t="s">
        <v>129</v>
      </c>
      <c r="M14" s="15" t="s">
        <v>272</v>
      </c>
      <c r="N14" s="15" t="s">
        <v>273</v>
      </c>
      <c r="AB14" s="76" t="s">
        <v>274</v>
      </c>
      <c r="AC14" s="17" t="s">
        <v>275</v>
      </c>
      <c r="AD14" t="s">
        <v>257</v>
      </c>
      <c r="AG14" t="s">
        <v>276</v>
      </c>
      <c r="AH14" s="239" t="s">
        <v>950</v>
      </c>
      <c r="AI14" t="s">
        <v>66</v>
      </c>
      <c r="AJ14" t="s">
        <v>927</v>
      </c>
      <c r="AK14" t="s">
        <v>926</v>
      </c>
      <c r="AL14" s="229" t="s">
        <v>921</v>
      </c>
    </row>
    <row r="15" spans="1:38" x14ac:dyDescent="0.3">
      <c r="D15" t="s">
        <v>277</v>
      </c>
      <c r="E15" t="s">
        <v>278</v>
      </c>
      <c r="G15" s="11"/>
      <c r="H15" s="13" t="s">
        <v>279</v>
      </c>
      <c r="I15" s="17" t="s">
        <v>280</v>
      </c>
      <c r="J15" s="12" t="s">
        <v>129</v>
      </c>
      <c r="M15" s="15" t="s">
        <v>281</v>
      </c>
      <c r="N15" s="15" t="s">
        <v>282</v>
      </c>
      <c r="AB15" s="76" t="s">
        <v>283</v>
      </c>
      <c r="AC15" s="17" t="s">
        <v>284</v>
      </c>
      <c r="AD15" t="s">
        <v>257</v>
      </c>
      <c r="AG15" t="s">
        <v>285</v>
      </c>
      <c r="AH15" s="239" t="s">
        <v>951</v>
      </c>
      <c r="AI15" t="s">
        <v>68</v>
      </c>
      <c r="AJ15" t="s">
        <v>63</v>
      </c>
      <c r="AK15" t="s">
        <v>916</v>
      </c>
      <c r="AL15" s="229" t="s">
        <v>921</v>
      </c>
    </row>
    <row r="16" spans="1:38" x14ac:dyDescent="0.3">
      <c r="D16" t="s">
        <v>286</v>
      </c>
      <c r="E16" t="s">
        <v>287</v>
      </c>
      <c r="G16" s="11"/>
      <c r="H16" s="13" t="s">
        <v>288</v>
      </c>
      <c r="I16" s="13" t="s">
        <v>289</v>
      </c>
      <c r="J16" s="12" t="s">
        <v>129</v>
      </c>
      <c r="AB16" s="76" t="s">
        <v>290</v>
      </c>
      <c r="AC16" s="13" t="s">
        <v>291</v>
      </c>
      <c r="AD16" t="s">
        <v>130</v>
      </c>
      <c r="AG16" t="s">
        <v>292</v>
      </c>
      <c r="AH16" s="239" t="s">
        <v>952</v>
      </c>
      <c r="AI16" t="s">
        <v>63</v>
      </c>
      <c r="AJ16" t="s">
        <v>63</v>
      </c>
      <c r="AK16" t="s">
        <v>916</v>
      </c>
      <c r="AL16" s="229">
        <v>2</v>
      </c>
    </row>
    <row r="17" spans="1:38" x14ac:dyDescent="0.3">
      <c r="G17" s="11"/>
      <c r="H17" s="13" t="s">
        <v>293</v>
      </c>
      <c r="I17" s="17" t="s">
        <v>294</v>
      </c>
      <c r="J17" s="12" t="s">
        <v>129</v>
      </c>
      <c r="AB17" s="76" t="s">
        <v>295</v>
      </c>
      <c r="AC17" s="13" t="s">
        <v>296</v>
      </c>
      <c r="AD17" t="s">
        <v>130</v>
      </c>
      <c r="AG17" t="s">
        <v>297</v>
      </c>
      <c r="AH17" s="239" t="s">
        <v>953</v>
      </c>
      <c r="AI17" t="s">
        <v>63</v>
      </c>
      <c r="AJ17" t="s">
        <v>63</v>
      </c>
      <c r="AK17" t="s">
        <v>923</v>
      </c>
      <c r="AL17" s="229">
        <v>1</v>
      </c>
    </row>
    <row r="18" spans="1:38" x14ac:dyDescent="0.3">
      <c r="D18" t="s">
        <v>298</v>
      </c>
      <c r="E18" t="s">
        <v>299</v>
      </c>
      <c r="G18" s="11"/>
      <c r="H18" s="13" t="s">
        <v>300</v>
      </c>
      <c r="I18" s="17" t="s">
        <v>301</v>
      </c>
      <c r="J18" s="12" t="s">
        <v>129</v>
      </c>
      <c r="AB18" s="76" t="s">
        <v>302</v>
      </c>
      <c r="AC18" s="17" t="s">
        <v>303</v>
      </c>
      <c r="AD18" t="s">
        <v>130</v>
      </c>
      <c r="AG18" t="s">
        <v>304</v>
      </c>
      <c r="AH18" s="239" t="s">
        <v>954</v>
      </c>
      <c r="AI18" t="s">
        <v>160</v>
      </c>
      <c r="AJ18" t="s">
        <v>924</v>
      </c>
      <c r="AK18" t="s">
        <v>916</v>
      </c>
      <c r="AL18" s="229" t="s">
        <v>921</v>
      </c>
    </row>
    <row r="19" spans="1:38" x14ac:dyDescent="0.3">
      <c r="D19" t="s">
        <v>305</v>
      </c>
      <c r="E19" t="s">
        <v>306</v>
      </c>
      <c r="G19" s="11"/>
      <c r="H19" s="13" t="s">
        <v>307</v>
      </c>
      <c r="I19" s="17" t="s">
        <v>308</v>
      </c>
      <c r="J19" s="12" t="s">
        <v>129</v>
      </c>
      <c r="K19" s="11"/>
      <c r="AB19" s="76" t="s">
        <v>309</v>
      </c>
      <c r="AC19" s="17" t="s">
        <v>310</v>
      </c>
      <c r="AD19" t="s">
        <v>130</v>
      </c>
      <c r="AG19" t="s">
        <v>311</v>
      </c>
      <c r="AH19" s="239" t="s">
        <v>955</v>
      </c>
      <c r="AI19" t="s">
        <v>68</v>
      </c>
      <c r="AJ19" t="s">
        <v>63</v>
      </c>
      <c r="AK19" t="s">
        <v>916</v>
      </c>
      <c r="AL19" s="229">
        <v>1</v>
      </c>
    </row>
    <row r="20" spans="1:38" x14ac:dyDescent="0.3">
      <c r="D20" t="s">
        <v>312</v>
      </c>
      <c r="E20" t="s">
        <v>313</v>
      </c>
      <c r="G20" s="11"/>
      <c r="H20" s="13" t="s">
        <v>314</v>
      </c>
      <c r="I20" s="17" t="s">
        <v>315</v>
      </c>
      <c r="J20" s="12" t="s">
        <v>129</v>
      </c>
      <c r="K20" s="11"/>
      <c r="AB20" s="76" t="s">
        <v>316</v>
      </c>
      <c r="AC20" s="17" t="s">
        <v>317</v>
      </c>
      <c r="AD20" t="s">
        <v>130</v>
      </c>
      <c r="AG20" t="s">
        <v>318</v>
      </c>
      <c r="AH20" s="239" t="s">
        <v>956</v>
      </c>
      <c r="AI20" t="s">
        <v>920</v>
      </c>
      <c r="AJ20" t="s">
        <v>920</v>
      </c>
      <c r="AK20" t="s">
        <v>916</v>
      </c>
      <c r="AL20" s="229" t="s">
        <v>921</v>
      </c>
    </row>
    <row r="21" spans="1:38" x14ac:dyDescent="0.3">
      <c r="D21" t="s">
        <v>319</v>
      </c>
      <c r="E21" t="s">
        <v>320</v>
      </c>
      <c r="G21" s="11"/>
      <c r="H21" s="13" t="s">
        <v>321</v>
      </c>
      <c r="I21" s="17" t="s">
        <v>322</v>
      </c>
      <c r="J21" s="12" t="s">
        <v>129</v>
      </c>
      <c r="K21" s="11"/>
      <c r="AB21" s="76" t="s">
        <v>323</v>
      </c>
      <c r="AC21" s="17" t="s">
        <v>324</v>
      </c>
      <c r="AD21" t="s">
        <v>130</v>
      </c>
      <c r="AG21" t="s">
        <v>325</v>
      </c>
      <c r="AH21" s="239" t="s">
        <v>957</v>
      </c>
      <c r="AI21" t="s">
        <v>63</v>
      </c>
      <c r="AJ21" t="s">
        <v>63</v>
      </c>
      <c r="AK21" t="s">
        <v>923</v>
      </c>
      <c r="AL21" s="229">
        <v>1</v>
      </c>
    </row>
    <row r="22" spans="1:38" x14ac:dyDescent="0.3">
      <c r="D22" t="s">
        <v>326</v>
      </c>
      <c r="E22" t="s">
        <v>327</v>
      </c>
      <c r="G22" s="11"/>
      <c r="H22" s="13" t="s">
        <v>328</v>
      </c>
      <c r="I22" s="17" t="s">
        <v>329</v>
      </c>
      <c r="J22" s="12" t="s">
        <v>129</v>
      </c>
      <c r="K22" s="11"/>
      <c r="AB22" s="76" t="s">
        <v>330</v>
      </c>
      <c r="AC22" s="17" t="s">
        <v>331</v>
      </c>
      <c r="AD22" t="s">
        <v>130</v>
      </c>
      <c r="AG22" t="s">
        <v>332</v>
      </c>
      <c r="AH22" s="239" t="s">
        <v>958</v>
      </c>
      <c r="AI22" t="s">
        <v>920</v>
      </c>
      <c r="AJ22" t="s">
        <v>920</v>
      </c>
      <c r="AK22" t="s">
        <v>916</v>
      </c>
      <c r="AL22" s="229" t="s">
        <v>921</v>
      </c>
    </row>
    <row r="23" spans="1:38" x14ac:dyDescent="0.3">
      <c r="D23" t="s">
        <v>333</v>
      </c>
      <c r="E23" t="s">
        <v>334</v>
      </c>
      <c r="G23" s="11"/>
      <c r="H23" s="13" t="s">
        <v>335</v>
      </c>
      <c r="I23" s="17" t="s">
        <v>336</v>
      </c>
      <c r="J23" s="12" t="s">
        <v>129</v>
      </c>
      <c r="K23" s="11"/>
      <c r="AB23" s="76" t="s">
        <v>337</v>
      </c>
      <c r="AC23" s="17" t="s">
        <v>338</v>
      </c>
      <c r="AD23" t="s">
        <v>130</v>
      </c>
      <c r="AG23" t="s">
        <v>339</v>
      </c>
      <c r="AH23" s="239" t="s">
        <v>959</v>
      </c>
      <c r="AI23" t="s">
        <v>66</v>
      </c>
      <c r="AJ23" t="s">
        <v>899</v>
      </c>
      <c r="AK23" t="s">
        <v>929</v>
      </c>
      <c r="AL23" s="229" t="s">
        <v>921</v>
      </c>
    </row>
    <row r="24" spans="1:38" x14ac:dyDescent="0.3">
      <c r="D24" t="s">
        <v>340</v>
      </c>
      <c r="E24" t="s">
        <v>341</v>
      </c>
      <c r="G24" s="11"/>
      <c r="H24" s="13" t="s">
        <v>55</v>
      </c>
      <c r="I24" s="17" t="s">
        <v>342</v>
      </c>
      <c r="J24" s="12" t="s">
        <v>129</v>
      </c>
      <c r="K24" s="11"/>
      <c r="AB24" s="76" t="s">
        <v>343</v>
      </c>
      <c r="AC24" s="17" t="s">
        <v>344</v>
      </c>
      <c r="AD24" t="s">
        <v>130</v>
      </c>
      <c r="AG24" t="s">
        <v>345</v>
      </c>
      <c r="AH24" s="239" t="s">
        <v>960</v>
      </c>
      <c r="AI24" t="s">
        <v>68</v>
      </c>
      <c r="AJ24" t="s">
        <v>63</v>
      </c>
      <c r="AK24" t="s">
        <v>932</v>
      </c>
      <c r="AL24" s="229" t="s">
        <v>921</v>
      </c>
    </row>
    <row r="25" spans="1:38" x14ac:dyDescent="0.3">
      <c r="D25" t="s">
        <v>346</v>
      </c>
      <c r="E25" t="s">
        <v>347</v>
      </c>
      <c r="G25" s="11"/>
      <c r="H25" s="17" t="s">
        <v>348</v>
      </c>
      <c r="I25" s="17" t="s">
        <v>349</v>
      </c>
      <c r="J25" s="12" t="s">
        <v>129</v>
      </c>
      <c r="K25" s="11"/>
      <c r="AB25" s="76" t="s">
        <v>350</v>
      </c>
      <c r="AC25" s="17" t="s">
        <v>351</v>
      </c>
      <c r="AD25" t="s">
        <v>130</v>
      </c>
      <c r="AH25" s="239" t="s">
        <v>961</v>
      </c>
      <c r="AI25" t="s">
        <v>66</v>
      </c>
      <c r="AJ25" t="s">
        <v>920</v>
      </c>
      <c r="AK25" t="s">
        <v>916</v>
      </c>
      <c r="AL25" s="229" t="s">
        <v>921</v>
      </c>
    </row>
    <row r="26" spans="1:38" x14ac:dyDescent="0.3">
      <c r="D26" t="s">
        <v>353</v>
      </c>
      <c r="E26" t="s">
        <v>354</v>
      </c>
      <c r="G26" s="11"/>
      <c r="H26" s="13" t="s">
        <v>355</v>
      </c>
      <c r="I26" s="17" t="s">
        <v>356</v>
      </c>
      <c r="J26" s="12" t="s">
        <v>129</v>
      </c>
      <c r="K26" s="11"/>
      <c r="AB26" s="76" t="s">
        <v>357</v>
      </c>
      <c r="AC26" s="17" t="s">
        <v>358</v>
      </c>
      <c r="AD26" t="s">
        <v>130</v>
      </c>
      <c r="AH26" s="239" t="s">
        <v>962</v>
      </c>
      <c r="AI26" t="s">
        <v>66</v>
      </c>
      <c r="AJ26" t="s">
        <v>920</v>
      </c>
      <c r="AK26" t="s">
        <v>916</v>
      </c>
      <c r="AL26" s="229" t="s">
        <v>921</v>
      </c>
    </row>
    <row r="27" spans="1:38" x14ac:dyDescent="0.3">
      <c r="D27" t="s">
        <v>359</v>
      </c>
      <c r="E27" t="s">
        <v>360</v>
      </c>
      <c r="G27" s="11"/>
      <c r="H27" s="13" t="s">
        <v>361</v>
      </c>
      <c r="I27" s="17" t="s">
        <v>362</v>
      </c>
      <c r="J27" s="12" t="s">
        <v>129</v>
      </c>
      <c r="K27" s="11"/>
      <c r="AB27" s="76" t="s">
        <v>363</v>
      </c>
      <c r="AC27" s="17" t="s">
        <v>364</v>
      </c>
      <c r="AD27" t="s">
        <v>130</v>
      </c>
      <c r="AH27" s="239" t="s">
        <v>963</v>
      </c>
      <c r="AI27" t="s">
        <v>66</v>
      </c>
      <c r="AJ27" t="s">
        <v>920</v>
      </c>
      <c r="AK27" t="s">
        <v>916</v>
      </c>
      <c r="AL27" s="229" t="s">
        <v>921</v>
      </c>
    </row>
    <row r="28" spans="1:38" x14ac:dyDescent="0.3">
      <c r="D28" t="s">
        <v>365</v>
      </c>
      <c r="E28" t="s">
        <v>366</v>
      </c>
      <c r="G28" s="11"/>
      <c r="H28" s="13" t="s">
        <v>367</v>
      </c>
      <c r="I28" s="17" t="s">
        <v>368</v>
      </c>
      <c r="J28" s="12" t="s">
        <v>129</v>
      </c>
      <c r="K28" s="11"/>
      <c r="AB28" s="76" t="s">
        <v>369</v>
      </c>
      <c r="AC28" s="17" t="s">
        <v>370</v>
      </c>
      <c r="AD28" t="s">
        <v>130</v>
      </c>
      <c r="AH28" s="239" t="s">
        <v>964</v>
      </c>
      <c r="AI28" t="s">
        <v>920</v>
      </c>
      <c r="AJ28" t="s">
        <v>920</v>
      </c>
      <c r="AK28" t="s">
        <v>916</v>
      </c>
      <c r="AL28" s="229" t="s">
        <v>921</v>
      </c>
    </row>
    <row r="29" spans="1:38" x14ac:dyDescent="0.3">
      <c r="D29" t="s">
        <v>371</v>
      </c>
      <c r="E29" t="s">
        <v>372</v>
      </c>
      <c r="G29" s="11"/>
      <c r="H29" s="13" t="s">
        <v>373</v>
      </c>
      <c r="I29" s="17" t="s">
        <v>374</v>
      </c>
      <c r="J29" s="12" t="s">
        <v>129</v>
      </c>
      <c r="K29" s="11"/>
      <c r="AB29" s="76" t="s">
        <v>375</v>
      </c>
      <c r="AC29" s="17" t="s">
        <v>376</v>
      </c>
      <c r="AD29" t="s">
        <v>130</v>
      </c>
      <c r="AH29" s="239" t="s">
        <v>965</v>
      </c>
      <c r="AI29" t="s">
        <v>66</v>
      </c>
      <c r="AJ29" t="s">
        <v>927</v>
      </c>
      <c r="AK29" t="s">
        <v>925</v>
      </c>
      <c r="AL29" s="229" t="s">
        <v>921</v>
      </c>
    </row>
    <row r="30" spans="1:38" x14ac:dyDescent="0.3">
      <c r="D30" t="s">
        <v>377</v>
      </c>
      <c r="E30" t="s">
        <v>378</v>
      </c>
      <c r="G30" s="11"/>
      <c r="H30" s="13" t="s">
        <v>379</v>
      </c>
      <c r="I30" s="17" t="s">
        <v>380</v>
      </c>
      <c r="J30" s="12" t="s">
        <v>129</v>
      </c>
      <c r="K30" s="11"/>
      <c r="AB30" s="76" t="s">
        <v>381</v>
      </c>
      <c r="AC30" s="17" t="s">
        <v>382</v>
      </c>
      <c r="AD30" t="s">
        <v>130</v>
      </c>
      <c r="AH30" s="239" t="s">
        <v>966</v>
      </c>
      <c r="AI30" t="s">
        <v>66</v>
      </c>
      <c r="AJ30" t="s">
        <v>927</v>
      </c>
      <c r="AK30" t="s">
        <v>926</v>
      </c>
      <c r="AL30" s="229" t="s">
        <v>921</v>
      </c>
    </row>
    <row r="31" spans="1:38" x14ac:dyDescent="0.3">
      <c r="D31" t="s">
        <v>383</v>
      </c>
      <c r="E31" t="s">
        <v>384</v>
      </c>
      <c r="G31" s="11"/>
      <c r="H31" s="13" t="s">
        <v>385</v>
      </c>
      <c r="I31" s="17" t="s">
        <v>386</v>
      </c>
      <c r="J31" s="12" t="s">
        <v>129</v>
      </c>
      <c r="K31" s="11"/>
      <c r="AB31" s="76" t="s">
        <v>387</v>
      </c>
      <c r="AC31" s="17" t="s">
        <v>388</v>
      </c>
      <c r="AD31" t="s">
        <v>130</v>
      </c>
      <c r="AH31" s="239" t="s">
        <v>967</v>
      </c>
      <c r="AI31" t="s">
        <v>66</v>
      </c>
      <c r="AJ31" t="s">
        <v>928</v>
      </c>
      <c r="AK31" t="s">
        <v>916</v>
      </c>
      <c r="AL31" s="229" t="s">
        <v>921</v>
      </c>
    </row>
    <row r="32" spans="1:38" x14ac:dyDescent="0.3">
      <c r="D32" t="s">
        <v>389</v>
      </c>
      <c r="E32" t="s">
        <v>390</v>
      </c>
      <c r="G32" s="11"/>
      <c r="H32" s="13" t="s">
        <v>391</v>
      </c>
      <c r="I32" s="17" t="s">
        <v>392</v>
      </c>
      <c r="J32" s="12" t="s">
        <v>129</v>
      </c>
      <c r="K32" s="11"/>
      <c r="AB32" s="76" t="s">
        <v>393</v>
      </c>
      <c r="AC32" s="17" t="s">
        <v>394</v>
      </c>
      <c r="AD32" t="s">
        <v>130</v>
      </c>
      <c r="AH32" s="239" t="s">
        <v>968</v>
      </c>
      <c r="AI32" t="s">
        <v>66</v>
      </c>
      <c r="AJ32" t="s">
        <v>920</v>
      </c>
      <c r="AK32" t="s">
        <v>916</v>
      </c>
      <c r="AL32" s="229" t="s">
        <v>921</v>
      </c>
    </row>
    <row r="33" spans="4:38" x14ac:dyDescent="0.3">
      <c r="D33" t="s">
        <v>395</v>
      </c>
      <c r="E33" t="s">
        <v>396</v>
      </c>
      <c r="G33" s="11"/>
      <c r="H33" s="13" t="s">
        <v>397</v>
      </c>
      <c r="I33" s="17" t="s">
        <v>398</v>
      </c>
      <c r="J33" s="12" t="s">
        <v>129</v>
      </c>
      <c r="K33" s="11"/>
      <c r="AB33" s="76" t="s">
        <v>399</v>
      </c>
      <c r="AC33" s="17" t="s">
        <v>400</v>
      </c>
      <c r="AD33" t="s">
        <v>130</v>
      </c>
      <c r="AH33" s="239" t="s">
        <v>969</v>
      </c>
      <c r="AI33" t="s">
        <v>68</v>
      </c>
      <c r="AJ33" t="s">
        <v>63</v>
      </c>
      <c r="AK33" t="s">
        <v>916</v>
      </c>
      <c r="AL33" s="229" t="s">
        <v>921</v>
      </c>
    </row>
    <row r="34" spans="4:38" x14ac:dyDescent="0.3">
      <c r="D34" t="s">
        <v>401</v>
      </c>
      <c r="E34" t="s">
        <v>402</v>
      </c>
      <c r="G34" s="11"/>
      <c r="H34" s="13" t="s">
        <v>403</v>
      </c>
      <c r="I34" s="17" t="s">
        <v>404</v>
      </c>
      <c r="J34" s="12" t="s">
        <v>129</v>
      </c>
      <c r="K34" s="11"/>
      <c r="AB34" s="76" t="s">
        <v>405</v>
      </c>
      <c r="AC34" s="17" t="s">
        <v>406</v>
      </c>
      <c r="AD34" t="s">
        <v>130</v>
      </c>
    </row>
    <row r="35" spans="4:38" x14ac:dyDescent="0.3">
      <c r="G35" s="11"/>
      <c r="H35" s="13" t="s">
        <v>407</v>
      </c>
      <c r="I35" s="17" t="s">
        <v>408</v>
      </c>
      <c r="J35" s="12" t="s">
        <v>129</v>
      </c>
      <c r="K35" s="11"/>
      <c r="AB35" s="76" t="s">
        <v>409</v>
      </c>
      <c r="AC35" s="17" t="s">
        <v>410</v>
      </c>
      <c r="AD35" t="s">
        <v>130</v>
      </c>
    </row>
    <row r="36" spans="4:38" x14ac:dyDescent="0.3">
      <c r="D36" t="s">
        <v>411</v>
      </c>
      <c r="E36" t="s">
        <v>412</v>
      </c>
      <c r="G36" s="11"/>
      <c r="H36" s="13" t="s">
        <v>413</v>
      </c>
      <c r="I36" s="17" t="s">
        <v>414</v>
      </c>
      <c r="J36" s="12" t="s">
        <v>129</v>
      </c>
      <c r="K36" s="11"/>
      <c r="AB36" s="76" t="s">
        <v>415</v>
      </c>
      <c r="AC36" s="17" t="s">
        <v>416</v>
      </c>
      <c r="AD36" t="s">
        <v>130</v>
      </c>
    </row>
    <row r="37" spans="4:38" x14ac:dyDescent="0.3">
      <c r="D37" t="s">
        <v>417</v>
      </c>
      <c r="E37" t="s">
        <v>418</v>
      </c>
      <c r="G37" s="11"/>
      <c r="H37" s="13" t="s">
        <v>419</v>
      </c>
      <c r="I37" s="17" t="s">
        <v>420</v>
      </c>
      <c r="J37" s="12" t="s">
        <v>129</v>
      </c>
      <c r="K37" s="11"/>
      <c r="AB37" s="76" t="s">
        <v>421</v>
      </c>
      <c r="AC37" s="17" t="s">
        <v>422</v>
      </c>
      <c r="AD37" t="s">
        <v>130</v>
      </c>
    </row>
    <row r="38" spans="4:38" x14ac:dyDescent="0.3">
      <c r="D38" t="s">
        <v>423</v>
      </c>
      <c r="E38" t="s">
        <v>424</v>
      </c>
      <c r="G38" s="11"/>
      <c r="H38" s="13" t="s">
        <v>425</v>
      </c>
      <c r="I38" s="17" t="s">
        <v>426</v>
      </c>
      <c r="J38" s="12" t="s">
        <v>129</v>
      </c>
      <c r="K38" s="11"/>
      <c r="AB38" s="76" t="s">
        <v>427</v>
      </c>
      <c r="AC38" s="17" t="s">
        <v>428</v>
      </c>
      <c r="AD38" t="s">
        <v>130</v>
      </c>
    </row>
    <row r="39" spans="4:38" x14ac:dyDescent="0.3">
      <c r="D39" t="s">
        <v>429</v>
      </c>
      <c r="E39" t="s">
        <v>430</v>
      </c>
      <c r="G39" s="11"/>
      <c r="H39" s="13" t="s">
        <v>431</v>
      </c>
      <c r="I39" s="17" t="s">
        <v>432</v>
      </c>
      <c r="J39" s="12" t="s">
        <v>129</v>
      </c>
      <c r="K39" s="11"/>
      <c r="AB39" s="76" t="s">
        <v>433</v>
      </c>
      <c r="AC39" s="17" t="s">
        <v>434</v>
      </c>
      <c r="AD39" t="s">
        <v>130</v>
      </c>
      <c r="AH39" s="10"/>
    </row>
    <row r="40" spans="4:38" x14ac:dyDescent="0.3">
      <c r="D40" t="s">
        <v>435</v>
      </c>
      <c r="E40" t="s">
        <v>436</v>
      </c>
      <c r="G40" s="11"/>
      <c r="H40" s="13" t="s">
        <v>437</v>
      </c>
      <c r="I40" s="17" t="s">
        <v>438</v>
      </c>
      <c r="J40" s="12" t="s">
        <v>129</v>
      </c>
      <c r="K40" s="11"/>
      <c r="AB40" s="76" t="s">
        <v>439</v>
      </c>
      <c r="AC40" s="17" t="s">
        <v>440</v>
      </c>
      <c r="AD40" t="s">
        <v>257</v>
      </c>
      <c r="AH40" s="10"/>
    </row>
    <row r="41" spans="4:38" x14ac:dyDescent="0.3">
      <c r="D41" t="s">
        <v>441</v>
      </c>
      <c r="E41" t="s">
        <v>442</v>
      </c>
      <c r="H41" s="13" t="s">
        <v>443</v>
      </c>
      <c r="I41" s="17" t="s">
        <v>444</v>
      </c>
      <c r="J41" s="12" t="s">
        <v>129</v>
      </c>
      <c r="AB41" s="76" t="s">
        <v>445</v>
      </c>
      <c r="AC41" s="17" t="s">
        <v>446</v>
      </c>
      <c r="AD41" t="s">
        <v>257</v>
      </c>
      <c r="AH41" s="10"/>
    </row>
    <row r="42" spans="4:38" x14ac:dyDescent="0.3">
      <c r="D42" t="s">
        <v>447</v>
      </c>
      <c r="E42" t="s">
        <v>448</v>
      </c>
      <c r="H42" s="13" t="s">
        <v>449</v>
      </c>
      <c r="I42" s="17" t="s">
        <v>450</v>
      </c>
      <c r="J42" s="12" t="s">
        <v>129</v>
      </c>
      <c r="AB42" s="76" t="s">
        <v>451</v>
      </c>
      <c r="AC42" s="17" t="s">
        <v>452</v>
      </c>
      <c r="AD42" t="s">
        <v>257</v>
      </c>
    </row>
    <row r="43" spans="4:38" x14ac:dyDescent="0.3">
      <c r="D43" t="s">
        <v>453</v>
      </c>
      <c r="E43" t="s">
        <v>454</v>
      </c>
      <c r="H43" s="13" t="s">
        <v>455</v>
      </c>
      <c r="I43" s="17" t="s">
        <v>456</v>
      </c>
      <c r="J43" s="12" t="s">
        <v>129</v>
      </c>
      <c r="AB43" s="76" t="s">
        <v>457</v>
      </c>
      <c r="AC43" s="17" t="s">
        <v>458</v>
      </c>
      <c r="AD43" t="s">
        <v>257</v>
      </c>
    </row>
    <row r="44" spans="4:38" x14ac:dyDescent="0.3">
      <c r="D44" t="s">
        <v>459</v>
      </c>
      <c r="E44" t="s">
        <v>460</v>
      </c>
      <c r="H44" s="13" t="s">
        <v>461</v>
      </c>
      <c r="I44" s="17" t="s">
        <v>462</v>
      </c>
      <c r="J44" s="12" t="s">
        <v>129</v>
      </c>
      <c r="AB44" s="76" t="s">
        <v>463</v>
      </c>
      <c r="AC44" s="17" t="s">
        <v>464</v>
      </c>
      <c r="AD44" t="s">
        <v>257</v>
      </c>
    </row>
    <row r="45" spans="4:38" x14ac:dyDescent="0.3">
      <c r="D45" t="s">
        <v>465</v>
      </c>
      <c r="E45" t="s">
        <v>466</v>
      </c>
      <c r="H45" s="13" t="s">
        <v>467</v>
      </c>
      <c r="I45" s="17" t="s">
        <v>468</v>
      </c>
      <c r="J45" s="12" t="s">
        <v>129</v>
      </c>
      <c r="AB45" s="76" t="s">
        <v>469</v>
      </c>
      <c r="AC45" s="17" t="s">
        <v>470</v>
      </c>
      <c r="AD45" t="s">
        <v>257</v>
      </c>
    </row>
    <row r="46" spans="4:38" x14ac:dyDescent="0.3">
      <c r="H46" s="13" t="s">
        <v>471</v>
      </c>
      <c r="I46" s="17" t="s">
        <v>472</v>
      </c>
      <c r="J46" s="12" t="s">
        <v>129</v>
      </c>
      <c r="AB46" s="76" t="s">
        <v>473</v>
      </c>
      <c r="AC46" s="17" t="s">
        <v>474</v>
      </c>
      <c r="AD46" t="s">
        <v>257</v>
      </c>
    </row>
    <row r="47" spans="4:38" x14ac:dyDescent="0.3">
      <c r="D47" t="s">
        <v>475</v>
      </c>
      <c r="E47" t="s">
        <v>476</v>
      </c>
      <c r="H47" s="13" t="s">
        <v>477</v>
      </c>
      <c r="I47" s="17" t="s">
        <v>478</v>
      </c>
      <c r="J47" s="12" t="s">
        <v>129</v>
      </c>
      <c r="AB47" s="76" t="s">
        <v>479</v>
      </c>
      <c r="AC47" s="17" t="s">
        <v>480</v>
      </c>
      <c r="AD47" t="s">
        <v>257</v>
      </c>
    </row>
    <row r="48" spans="4:38" x14ac:dyDescent="0.3">
      <c r="D48" t="s">
        <v>481</v>
      </c>
      <c r="E48" t="s">
        <v>482</v>
      </c>
      <c r="H48" s="13" t="s">
        <v>483</v>
      </c>
      <c r="I48" s="17" t="s">
        <v>484</v>
      </c>
      <c r="J48" s="12" t="s">
        <v>129</v>
      </c>
      <c r="AB48" s="76" t="s">
        <v>485</v>
      </c>
      <c r="AC48" s="17" t="s">
        <v>486</v>
      </c>
      <c r="AD48" t="s">
        <v>257</v>
      </c>
    </row>
    <row r="49" spans="4:30" x14ac:dyDescent="0.3">
      <c r="D49" t="s">
        <v>487</v>
      </c>
      <c r="E49" t="s">
        <v>488</v>
      </c>
      <c r="H49" s="13" t="s">
        <v>489</v>
      </c>
      <c r="I49" s="17" t="s">
        <v>490</v>
      </c>
      <c r="J49" s="12" t="s">
        <v>129</v>
      </c>
      <c r="AB49" s="76" t="s">
        <v>491</v>
      </c>
      <c r="AC49" s="17" t="s">
        <v>492</v>
      </c>
      <c r="AD49" t="s">
        <v>257</v>
      </c>
    </row>
    <row r="50" spans="4:30" x14ac:dyDescent="0.3">
      <c r="D50" t="s">
        <v>493</v>
      </c>
      <c r="E50" t="s">
        <v>494</v>
      </c>
      <c r="H50" s="13" t="s">
        <v>495</v>
      </c>
      <c r="I50" s="17" t="s">
        <v>496</v>
      </c>
      <c r="J50" s="12" t="s">
        <v>129</v>
      </c>
      <c r="AB50" s="76" t="s">
        <v>497</v>
      </c>
      <c r="AC50" s="17" t="s">
        <v>498</v>
      </c>
      <c r="AD50" t="s">
        <v>140</v>
      </c>
    </row>
    <row r="51" spans="4:30" x14ac:dyDescent="0.3">
      <c r="D51" t="s">
        <v>499</v>
      </c>
      <c r="E51" t="s">
        <v>500</v>
      </c>
      <c r="H51" s="13" t="s">
        <v>501</v>
      </c>
      <c r="I51" s="17" t="s">
        <v>502</v>
      </c>
      <c r="J51" s="12" t="s">
        <v>129</v>
      </c>
      <c r="AB51" s="76" t="s">
        <v>503</v>
      </c>
      <c r="AC51" s="17" t="s">
        <v>504</v>
      </c>
      <c r="AD51" t="s">
        <v>140</v>
      </c>
    </row>
    <row r="52" spans="4:30" x14ac:dyDescent="0.3">
      <c r="H52" s="13" t="s">
        <v>505</v>
      </c>
      <c r="I52" s="17" t="s">
        <v>506</v>
      </c>
      <c r="J52" s="12" t="s">
        <v>129</v>
      </c>
      <c r="AB52" s="76" t="s">
        <v>507</v>
      </c>
      <c r="AC52" s="17" t="s">
        <v>508</v>
      </c>
      <c r="AD52" t="s">
        <v>140</v>
      </c>
    </row>
    <row r="53" spans="4:30" x14ac:dyDescent="0.3">
      <c r="D53" t="s">
        <v>509</v>
      </c>
      <c r="E53" t="s">
        <v>510</v>
      </c>
      <c r="H53" s="13" t="s">
        <v>511</v>
      </c>
      <c r="I53" s="17" t="s">
        <v>512</v>
      </c>
      <c r="J53" s="19" t="s">
        <v>129</v>
      </c>
      <c r="AB53" s="76" t="s">
        <v>513</v>
      </c>
      <c r="AC53" s="17" t="s">
        <v>514</v>
      </c>
      <c r="AD53" t="s">
        <v>140</v>
      </c>
    </row>
    <row r="54" spans="4:30" x14ac:dyDescent="0.3">
      <c r="D54" t="s">
        <v>515</v>
      </c>
      <c r="E54" t="s">
        <v>516</v>
      </c>
      <c r="H54" s="13" t="s">
        <v>517</v>
      </c>
      <c r="I54" s="17" t="s">
        <v>518</v>
      </c>
      <c r="J54" s="19" t="s">
        <v>129</v>
      </c>
      <c r="AB54" s="76" t="s">
        <v>519</v>
      </c>
      <c r="AC54" s="17" t="s">
        <v>520</v>
      </c>
      <c r="AD54" t="s">
        <v>140</v>
      </c>
    </row>
    <row r="55" spans="4:30" x14ac:dyDescent="0.3">
      <c r="D55" t="s">
        <v>521</v>
      </c>
      <c r="E55" t="s">
        <v>522</v>
      </c>
      <c r="H55" s="13" t="s">
        <v>523</v>
      </c>
      <c r="I55" s="17" t="s">
        <v>524</v>
      </c>
      <c r="J55" s="19" t="s">
        <v>129</v>
      </c>
      <c r="AB55" s="76" t="s">
        <v>525</v>
      </c>
      <c r="AC55" s="17" t="s">
        <v>526</v>
      </c>
      <c r="AD55" t="s">
        <v>140</v>
      </c>
    </row>
    <row r="56" spans="4:30" x14ac:dyDescent="0.3">
      <c r="D56" t="s">
        <v>527</v>
      </c>
      <c r="E56" t="s">
        <v>528</v>
      </c>
      <c r="H56" s="13" t="s">
        <v>529</v>
      </c>
      <c r="I56" s="17" t="s">
        <v>530</v>
      </c>
      <c r="J56" s="19" t="s">
        <v>129</v>
      </c>
      <c r="AB56" s="76" t="s">
        <v>531</v>
      </c>
      <c r="AC56" s="17" t="s">
        <v>532</v>
      </c>
      <c r="AD56" t="s">
        <v>257</v>
      </c>
    </row>
    <row r="57" spans="4:30" x14ac:dyDescent="0.3">
      <c r="D57" t="s">
        <v>533</v>
      </c>
      <c r="E57" t="s">
        <v>534</v>
      </c>
      <c r="H57" s="13" t="s">
        <v>535</v>
      </c>
      <c r="I57" s="17" t="s">
        <v>536</v>
      </c>
      <c r="J57" s="19" t="s">
        <v>129</v>
      </c>
      <c r="AB57" s="76" t="s">
        <v>537</v>
      </c>
      <c r="AC57" s="17" t="s">
        <v>538</v>
      </c>
      <c r="AD57" t="s">
        <v>257</v>
      </c>
    </row>
    <row r="58" spans="4:30" x14ac:dyDescent="0.3">
      <c r="D58" t="s">
        <v>539</v>
      </c>
      <c r="E58" t="s">
        <v>540</v>
      </c>
      <c r="H58" s="13" t="s">
        <v>541</v>
      </c>
      <c r="I58" s="17" t="s">
        <v>542</v>
      </c>
      <c r="J58" s="19" t="s">
        <v>129</v>
      </c>
      <c r="AB58" s="76" t="s">
        <v>543</v>
      </c>
      <c r="AC58" s="17" t="s">
        <v>544</v>
      </c>
      <c r="AD58" t="s">
        <v>257</v>
      </c>
    </row>
    <row r="59" spans="4:30" x14ac:dyDescent="0.3">
      <c r="H59" s="13" t="s">
        <v>545</v>
      </c>
      <c r="I59" s="17" t="s">
        <v>546</v>
      </c>
      <c r="J59" s="19" t="s">
        <v>129</v>
      </c>
      <c r="AB59" s="76" t="s">
        <v>547</v>
      </c>
      <c r="AC59" s="17" t="s">
        <v>548</v>
      </c>
      <c r="AD59" t="s">
        <v>140</v>
      </c>
    </row>
    <row r="60" spans="4:30" x14ac:dyDescent="0.3">
      <c r="D60" t="s">
        <v>549</v>
      </c>
      <c r="E60" t="s">
        <v>550</v>
      </c>
      <c r="H60" s="13" t="s">
        <v>551</v>
      </c>
      <c r="I60" s="17" t="s">
        <v>552</v>
      </c>
      <c r="J60" s="19" t="s">
        <v>129</v>
      </c>
      <c r="AB60" s="76" t="s">
        <v>553</v>
      </c>
      <c r="AC60" s="17" t="s">
        <v>554</v>
      </c>
      <c r="AD60" t="s">
        <v>140</v>
      </c>
    </row>
    <row r="61" spans="4:30" x14ac:dyDescent="0.3">
      <c r="D61" t="s">
        <v>555</v>
      </c>
      <c r="E61" t="s">
        <v>550</v>
      </c>
      <c r="H61" s="17" t="s">
        <v>556</v>
      </c>
      <c r="I61" s="17" t="s">
        <v>557</v>
      </c>
      <c r="J61" s="19" t="s">
        <v>129</v>
      </c>
      <c r="AB61" s="76" t="s">
        <v>558</v>
      </c>
      <c r="AC61" s="17" t="s">
        <v>559</v>
      </c>
      <c r="AD61" t="s">
        <v>140</v>
      </c>
    </row>
    <row r="62" spans="4:30" x14ac:dyDescent="0.3">
      <c r="H62" s="13" t="s">
        <v>560</v>
      </c>
      <c r="I62" s="17" t="s">
        <v>561</v>
      </c>
      <c r="J62" s="19" t="s">
        <v>129</v>
      </c>
      <c r="AB62" s="76" t="s">
        <v>562</v>
      </c>
      <c r="AC62" s="17" t="s">
        <v>563</v>
      </c>
      <c r="AD62" t="s">
        <v>564</v>
      </c>
    </row>
    <row r="63" spans="4:30" x14ac:dyDescent="0.3">
      <c r="D63" t="s">
        <v>565</v>
      </c>
      <c r="E63" t="s">
        <v>566</v>
      </c>
      <c r="H63" s="13" t="s">
        <v>567</v>
      </c>
      <c r="I63" s="17" t="s">
        <v>568</v>
      </c>
      <c r="J63" s="19" t="s">
        <v>129</v>
      </c>
      <c r="AB63" s="76" t="s">
        <v>569</v>
      </c>
      <c r="AC63" s="17" t="s">
        <v>570</v>
      </c>
      <c r="AD63" t="s">
        <v>564</v>
      </c>
    </row>
    <row r="64" spans="4:30" x14ac:dyDescent="0.3">
      <c r="D64" t="s">
        <v>571</v>
      </c>
      <c r="E64" t="s">
        <v>572</v>
      </c>
      <c r="H64" s="13" t="s">
        <v>573</v>
      </c>
      <c r="I64" s="17" t="s">
        <v>574</v>
      </c>
      <c r="J64" s="19" t="s">
        <v>129</v>
      </c>
      <c r="AB64" s="76" t="s">
        <v>575</v>
      </c>
      <c r="AC64" s="17" t="s">
        <v>576</v>
      </c>
      <c r="AD64" t="s">
        <v>564</v>
      </c>
    </row>
    <row r="65" spans="4:30" x14ac:dyDescent="0.3">
      <c r="D65" t="s">
        <v>577</v>
      </c>
      <c r="E65" t="s">
        <v>578</v>
      </c>
      <c r="H65" s="13" t="s">
        <v>579</v>
      </c>
      <c r="I65" s="17" t="s">
        <v>580</v>
      </c>
      <c r="J65" s="19" t="s">
        <v>129</v>
      </c>
      <c r="AB65" s="77" t="s">
        <v>581</v>
      </c>
      <c r="AC65" s="17" t="s">
        <v>582</v>
      </c>
      <c r="AD65" t="s">
        <v>564</v>
      </c>
    </row>
    <row r="66" spans="4:30" x14ac:dyDescent="0.3">
      <c r="D66" t="s">
        <v>583</v>
      </c>
      <c r="E66" t="s">
        <v>584</v>
      </c>
      <c r="H66" s="13" t="s">
        <v>585</v>
      </c>
      <c r="I66" s="17" t="s">
        <v>586</v>
      </c>
      <c r="J66" s="19" t="s">
        <v>129</v>
      </c>
      <c r="AB66" s="76" t="s">
        <v>587</v>
      </c>
      <c r="AC66" s="13" t="s">
        <v>588</v>
      </c>
      <c r="AD66" t="s">
        <v>564</v>
      </c>
    </row>
    <row r="67" spans="4:30" x14ac:dyDescent="0.3">
      <c r="D67" t="s">
        <v>589</v>
      </c>
      <c r="E67" t="s">
        <v>590</v>
      </c>
      <c r="H67" s="13" t="s">
        <v>591</v>
      </c>
      <c r="I67" s="17" t="s">
        <v>592</v>
      </c>
      <c r="J67" s="19" t="s">
        <v>129</v>
      </c>
    </row>
    <row r="68" spans="4:30" x14ac:dyDescent="0.3">
      <c r="D68" t="s">
        <v>593</v>
      </c>
      <c r="E68" t="s">
        <v>594</v>
      </c>
      <c r="H68" s="13" t="s">
        <v>595</v>
      </c>
      <c r="I68" s="17" t="s">
        <v>596</v>
      </c>
      <c r="J68" s="19" t="s">
        <v>129</v>
      </c>
    </row>
    <row r="69" spans="4:30" x14ac:dyDescent="0.3">
      <c r="D69" t="s">
        <v>597</v>
      </c>
      <c r="E69" t="s">
        <v>598</v>
      </c>
      <c r="H69" s="13" t="s">
        <v>599</v>
      </c>
      <c r="I69" s="13" t="s">
        <v>600</v>
      </c>
      <c r="J69" s="18" t="s">
        <v>129</v>
      </c>
    </row>
    <row r="70" spans="4:30" x14ac:dyDescent="0.3">
      <c r="D70" s="10"/>
      <c r="E70" s="10"/>
      <c r="H70" s="13" t="s">
        <v>601</v>
      </c>
      <c r="I70" s="17" t="s">
        <v>602</v>
      </c>
      <c r="J70" s="19" t="s">
        <v>129</v>
      </c>
    </row>
    <row r="71" spans="4:30" x14ac:dyDescent="0.3">
      <c r="D71" s="10"/>
      <c r="E71" s="10"/>
      <c r="H71" s="13" t="s">
        <v>603</v>
      </c>
      <c r="I71" s="17" t="s">
        <v>604</v>
      </c>
      <c r="J71" s="19" t="s">
        <v>129</v>
      </c>
    </row>
    <row r="72" spans="4:30" x14ac:dyDescent="0.3">
      <c r="D72" s="10"/>
      <c r="E72" s="10"/>
      <c r="H72" s="13" t="s">
        <v>605</v>
      </c>
      <c r="I72" s="17" t="s">
        <v>606</v>
      </c>
      <c r="J72" s="19" t="s">
        <v>130</v>
      </c>
    </row>
    <row r="73" spans="4:30" x14ac:dyDescent="0.3">
      <c r="D73" s="10"/>
      <c r="E73" s="10"/>
      <c r="H73" s="13" t="s">
        <v>607</v>
      </c>
      <c r="I73" s="17" t="s">
        <v>608</v>
      </c>
      <c r="J73" s="19" t="s">
        <v>130</v>
      </c>
    </row>
    <row r="74" spans="4:30" x14ac:dyDescent="0.3">
      <c r="D74" s="10"/>
      <c r="E74" s="10"/>
      <c r="H74" s="13" t="s">
        <v>609</v>
      </c>
      <c r="I74" s="17" t="s">
        <v>610</v>
      </c>
      <c r="J74" s="19" t="s">
        <v>129</v>
      </c>
    </row>
    <row r="75" spans="4:30" x14ac:dyDescent="0.3">
      <c r="D75" s="10"/>
      <c r="E75" s="10"/>
      <c r="H75" s="13" t="s">
        <v>611</v>
      </c>
      <c r="I75" s="17" t="s">
        <v>612</v>
      </c>
      <c r="J75" s="19" t="s">
        <v>130</v>
      </c>
    </row>
    <row r="76" spans="4:30" x14ac:dyDescent="0.3">
      <c r="D76" s="10"/>
      <c r="E76" s="10"/>
      <c r="H76" s="13" t="s">
        <v>613</v>
      </c>
      <c r="I76" s="17" t="s">
        <v>614</v>
      </c>
      <c r="J76" s="19" t="s">
        <v>130</v>
      </c>
    </row>
    <row r="77" spans="4:30" x14ac:dyDescent="0.3">
      <c r="D77" s="10"/>
      <c r="E77" s="10"/>
      <c r="H77" s="13" t="s">
        <v>615</v>
      </c>
      <c r="I77" s="17" t="s">
        <v>616</v>
      </c>
      <c r="J77" s="19" t="s">
        <v>129</v>
      </c>
    </row>
    <row r="78" spans="4:30" x14ac:dyDescent="0.3">
      <c r="D78" s="10"/>
      <c r="E78" s="10"/>
      <c r="H78" s="13" t="s">
        <v>617</v>
      </c>
      <c r="I78" s="17" t="s">
        <v>618</v>
      </c>
      <c r="J78" s="19" t="s">
        <v>130</v>
      </c>
    </row>
    <row r="79" spans="4:30" x14ac:dyDescent="0.3">
      <c r="D79" s="10"/>
      <c r="E79" s="10"/>
      <c r="H79" s="13" t="s">
        <v>619</v>
      </c>
      <c r="I79" s="17" t="s">
        <v>620</v>
      </c>
      <c r="J79" s="19" t="s">
        <v>130</v>
      </c>
    </row>
    <row r="80" spans="4:30" x14ac:dyDescent="0.3">
      <c r="D80" s="10"/>
      <c r="E80" s="10"/>
      <c r="H80" s="13" t="s">
        <v>621</v>
      </c>
      <c r="I80" s="17" t="s">
        <v>622</v>
      </c>
      <c r="J80" s="19" t="s">
        <v>129</v>
      </c>
    </row>
    <row r="81" spans="4:10" x14ac:dyDescent="0.3">
      <c r="D81" s="10"/>
      <c r="E81" s="10"/>
      <c r="H81" s="13" t="s">
        <v>623</v>
      </c>
      <c r="I81" s="17" t="s">
        <v>624</v>
      </c>
      <c r="J81" s="19" t="s">
        <v>130</v>
      </c>
    </row>
    <row r="82" spans="4:10" x14ac:dyDescent="0.3">
      <c r="D82" s="10"/>
      <c r="E82" s="10"/>
      <c r="H82" s="13" t="s">
        <v>625</v>
      </c>
      <c r="I82" s="17" t="s">
        <v>626</v>
      </c>
      <c r="J82" s="19" t="s">
        <v>130</v>
      </c>
    </row>
    <row r="83" spans="4:10" x14ac:dyDescent="0.3">
      <c r="D83" s="10"/>
      <c r="E83" s="10"/>
      <c r="H83" s="13" t="s">
        <v>627</v>
      </c>
      <c r="I83" s="17" t="s">
        <v>628</v>
      </c>
      <c r="J83" s="19" t="s">
        <v>129</v>
      </c>
    </row>
    <row r="84" spans="4:10" x14ac:dyDescent="0.3">
      <c r="D84" s="10"/>
      <c r="E84" s="10"/>
      <c r="H84" s="13" t="s">
        <v>629</v>
      </c>
      <c r="I84" s="17" t="s">
        <v>630</v>
      </c>
      <c r="J84" s="19" t="s">
        <v>130</v>
      </c>
    </row>
    <row r="85" spans="4:10" x14ac:dyDescent="0.3">
      <c r="D85" s="10"/>
      <c r="E85" s="10"/>
      <c r="H85" s="13" t="s">
        <v>631</v>
      </c>
      <c r="I85" s="17" t="s">
        <v>632</v>
      </c>
      <c r="J85" s="19" t="s">
        <v>129</v>
      </c>
    </row>
    <row r="86" spans="4:10" x14ac:dyDescent="0.3">
      <c r="D86" s="10"/>
      <c r="E86" s="10"/>
      <c r="H86" s="13" t="s">
        <v>633</v>
      </c>
      <c r="I86" s="17" t="s">
        <v>634</v>
      </c>
      <c r="J86" s="19" t="s">
        <v>130</v>
      </c>
    </row>
    <row r="87" spans="4:10" x14ac:dyDescent="0.3">
      <c r="D87" s="10"/>
      <c r="E87" s="10"/>
      <c r="H87" s="13" t="s">
        <v>635</v>
      </c>
      <c r="I87" s="17" t="s">
        <v>636</v>
      </c>
      <c r="J87" s="19" t="s">
        <v>129</v>
      </c>
    </row>
    <row r="88" spans="4:10" x14ac:dyDescent="0.3">
      <c r="D88" s="10"/>
      <c r="E88" s="10"/>
      <c r="H88" s="13" t="s">
        <v>637</v>
      </c>
      <c r="I88" s="17" t="s">
        <v>638</v>
      </c>
      <c r="J88" s="19" t="s">
        <v>129</v>
      </c>
    </row>
    <row r="89" spans="4:10" x14ac:dyDescent="0.3">
      <c r="D89" s="10"/>
      <c r="E89" s="10"/>
      <c r="H89" s="13" t="s">
        <v>639</v>
      </c>
      <c r="I89" s="17" t="s">
        <v>640</v>
      </c>
      <c r="J89" s="19" t="s">
        <v>129</v>
      </c>
    </row>
    <row r="90" spans="4:10" x14ac:dyDescent="0.3">
      <c r="D90" s="10"/>
      <c r="E90" s="10"/>
      <c r="H90" s="13" t="s">
        <v>641</v>
      </c>
      <c r="I90" s="17" t="s">
        <v>642</v>
      </c>
      <c r="J90" s="19" t="s">
        <v>129</v>
      </c>
    </row>
    <row r="91" spans="4:10" x14ac:dyDescent="0.3">
      <c r="D91" s="10"/>
      <c r="E91" s="10"/>
      <c r="H91" s="13" t="s">
        <v>643</v>
      </c>
      <c r="I91" s="17" t="s">
        <v>644</v>
      </c>
      <c r="J91" s="19" t="s">
        <v>129</v>
      </c>
    </row>
    <row r="92" spans="4:10" x14ac:dyDescent="0.3">
      <c r="D92" s="10"/>
      <c r="E92" s="10"/>
      <c r="H92" s="13" t="s">
        <v>645</v>
      </c>
      <c r="I92" s="17" t="s">
        <v>646</v>
      </c>
      <c r="J92" s="19" t="s">
        <v>130</v>
      </c>
    </row>
    <row r="93" spans="4:10" x14ac:dyDescent="0.3">
      <c r="D93" s="10"/>
      <c r="E93" s="10"/>
      <c r="H93" s="17" t="s">
        <v>647</v>
      </c>
      <c r="I93" s="17" t="s">
        <v>648</v>
      </c>
      <c r="J93" s="19" t="s">
        <v>129</v>
      </c>
    </row>
    <row r="94" spans="4:10" x14ac:dyDescent="0.3">
      <c r="D94" s="10"/>
      <c r="E94" s="10"/>
      <c r="H94" s="13" t="s">
        <v>649</v>
      </c>
      <c r="I94" s="17" t="s">
        <v>650</v>
      </c>
      <c r="J94" s="19" t="s">
        <v>129</v>
      </c>
    </row>
    <row r="95" spans="4:10" x14ac:dyDescent="0.3">
      <c r="D95" s="10"/>
      <c r="E95" s="10"/>
      <c r="H95" s="13" t="s">
        <v>651</v>
      </c>
      <c r="I95" s="17" t="s">
        <v>652</v>
      </c>
      <c r="J95" s="19" t="s">
        <v>130</v>
      </c>
    </row>
    <row r="96" spans="4:10" x14ac:dyDescent="0.3">
      <c r="D96" s="10"/>
      <c r="E96" s="10"/>
      <c r="H96" s="13" t="s">
        <v>653</v>
      </c>
      <c r="I96" s="17" t="s">
        <v>654</v>
      </c>
      <c r="J96" s="19" t="s">
        <v>129</v>
      </c>
    </row>
    <row r="97" spans="4:10" x14ac:dyDescent="0.3">
      <c r="D97" s="10"/>
      <c r="E97" s="10"/>
      <c r="H97" s="13" t="s">
        <v>655</v>
      </c>
      <c r="I97" s="17" t="s">
        <v>656</v>
      </c>
      <c r="J97" s="19" t="s">
        <v>129</v>
      </c>
    </row>
    <row r="98" spans="4:10" x14ac:dyDescent="0.3">
      <c r="D98" s="10"/>
      <c r="E98" s="10"/>
      <c r="H98" s="13" t="s">
        <v>657</v>
      </c>
      <c r="I98" s="17" t="s">
        <v>658</v>
      </c>
      <c r="J98" s="19" t="s">
        <v>129</v>
      </c>
    </row>
    <row r="99" spans="4:10" x14ac:dyDescent="0.3">
      <c r="D99" s="10"/>
      <c r="E99" s="10"/>
      <c r="H99" s="13" t="s">
        <v>659</v>
      </c>
      <c r="I99" s="17" t="s">
        <v>660</v>
      </c>
      <c r="J99" s="19" t="s">
        <v>129</v>
      </c>
    </row>
    <row r="100" spans="4:10" x14ac:dyDescent="0.3">
      <c r="D100" s="10"/>
      <c r="E100" s="10"/>
      <c r="H100" s="13" t="s">
        <v>661</v>
      </c>
      <c r="I100" s="17" t="s">
        <v>662</v>
      </c>
      <c r="J100" s="19" t="s">
        <v>129</v>
      </c>
    </row>
    <row r="101" spans="4:10" x14ac:dyDescent="0.3">
      <c r="D101" s="10"/>
      <c r="E101" s="10"/>
      <c r="H101" s="13" t="s">
        <v>663</v>
      </c>
      <c r="I101" s="17" t="s">
        <v>664</v>
      </c>
      <c r="J101" s="19" t="s">
        <v>129</v>
      </c>
    </row>
    <row r="102" spans="4:10" x14ac:dyDescent="0.3">
      <c r="D102" s="10"/>
      <c r="E102" s="10"/>
      <c r="H102" s="13" t="s">
        <v>665</v>
      </c>
      <c r="I102" s="17" t="s">
        <v>666</v>
      </c>
      <c r="J102" s="19" t="s">
        <v>130</v>
      </c>
    </row>
    <row r="103" spans="4:10" x14ac:dyDescent="0.3">
      <c r="D103" s="10"/>
      <c r="E103" s="10"/>
      <c r="H103" s="13" t="s">
        <v>667</v>
      </c>
      <c r="I103" s="17" t="s">
        <v>668</v>
      </c>
      <c r="J103" s="19" t="s">
        <v>130</v>
      </c>
    </row>
    <row r="104" spans="4:10" x14ac:dyDescent="0.3">
      <c r="D104" s="10"/>
      <c r="E104" s="10"/>
      <c r="H104" s="13" t="s">
        <v>669</v>
      </c>
      <c r="I104" s="17" t="s">
        <v>670</v>
      </c>
      <c r="J104" s="19" t="s">
        <v>129</v>
      </c>
    </row>
    <row r="105" spans="4:10" x14ac:dyDescent="0.3">
      <c r="D105" s="10"/>
      <c r="E105" s="10"/>
      <c r="H105" s="13" t="s">
        <v>671</v>
      </c>
      <c r="I105" s="17" t="s">
        <v>672</v>
      </c>
      <c r="J105" s="19" t="s">
        <v>129</v>
      </c>
    </row>
    <row r="106" spans="4:10" x14ac:dyDescent="0.3">
      <c r="D106" s="10"/>
      <c r="E106" s="10"/>
      <c r="H106" s="13" t="s">
        <v>673</v>
      </c>
      <c r="I106" s="17" t="s">
        <v>674</v>
      </c>
      <c r="J106" s="19" t="s">
        <v>130</v>
      </c>
    </row>
    <row r="107" spans="4:10" x14ac:dyDescent="0.3">
      <c r="D107" s="10"/>
      <c r="E107" s="10"/>
      <c r="H107" s="13" t="s">
        <v>675</v>
      </c>
      <c r="I107" s="17" t="s">
        <v>676</v>
      </c>
      <c r="J107" s="19" t="s">
        <v>129</v>
      </c>
    </row>
    <row r="108" spans="4:10" x14ac:dyDescent="0.3">
      <c r="D108" s="10"/>
      <c r="E108" s="10"/>
      <c r="H108" s="13" t="s">
        <v>677</v>
      </c>
      <c r="I108" s="17" t="s">
        <v>678</v>
      </c>
      <c r="J108" s="19" t="s">
        <v>129</v>
      </c>
    </row>
    <row r="109" spans="4:10" x14ac:dyDescent="0.3">
      <c r="D109" s="10"/>
      <c r="E109" s="10"/>
      <c r="H109" s="13" t="s">
        <v>679</v>
      </c>
      <c r="I109" s="17" t="s">
        <v>680</v>
      </c>
      <c r="J109" s="19" t="s">
        <v>130</v>
      </c>
    </row>
    <row r="110" spans="4:10" x14ac:dyDescent="0.3">
      <c r="D110" s="10"/>
      <c r="E110" s="10"/>
      <c r="H110" s="13" t="s">
        <v>681</v>
      </c>
      <c r="I110" s="17" t="s">
        <v>682</v>
      </c>
      <c r="J110" s="19" t="s">
        <v>129</v>
      </c>
    </row>
    <row r="111" spans="4:10" x14ac:dyDescent="0.3">
      <c r="D111" s="10"/>
      <c r="E111" s="10"/>
      <c r="H111" s="13" t="s">
        <v>683</v>
      </c>
      <c r="I111" s="17" t="s">
        <v>684</v>
      </c>
      <c r="J111" s="19" t="s">
        <v>129</v>
      </c>
    </row>
    <row r="112" spans="4:10" x14ac:dyDescent="0.3">
      <c r="D112" s="10"/>
      <c r="E112" s="10"/>
      <c r="H112" s="13" t="s">
        <v>685</v>
      </c>
      <c r="I112" s="17" t="s">
        <v>686</v>
      </c>
      <c r="J112" s="19" t="s">
        <v>130</v>
      </c>
    </row>
    <row r="113" spans="4:14" x14ac:dyDescent="0.3">
      <c r="D113" s="10"/>
      <c r="E113" s="10"/>
      <c r="H113" s="13" t="s">
        <v>687</v>
      </c>
      <c r="I113" s="17" t="s">
        <v>688</v>
      </c>
      <c r="J113" s="19" t="s">
        <v>129</v>
      </c>
    </row>
    <row r="114" spans="4:14" x14ac:dyDescent="0.3">
      <c r="D114" s="10"/>
      <c r="E114" s="10"/>
      <c r="H114" s="13" t="s">
        <v>689</v>
      </c>
      <c r="I114" s="17" t="s">
        <v>690</v>
      </c>
      <c r="J114" s="19" t="s">
        <v>129</v>
      </c>
      <c r="M114" s="187">
        <v>15</v>
      </c>
      <c r="N114" s="187">
        <v>21.34</v>
      </c>
    </row>
    <row r="115" spans="4:14" x14ac:dyDescent="0.3">
      <c r="D115" s="10"/>
      <c r="E115" s="10"/>
      <c r="H115" s="13" t="s">
        <v>691</v>
      </c>
      <c r="I115" s="17" t="s">
        <v>692</v>
      </c>
      <c r="J115" s="19" t="s">
        <v>129</v>
      </c>
      <c r="M115" s="187">
        <v>20</v>
      </c>
      <c r="N115" s="187">
        <v>26.67</v>
      </c>
    </row>
    <row r="116" spans="4:14" x14ac:dyDescent="0.3">
      <c r="D116" s="10"/>
      <c r="E116" s="10"/>
      <c r="H116" s="13" t="s">
        <v>693</v>
      </c>
      <c r="I116" s="17" t="s">
        <v>694</v>
      </c>
      <c r="J116" s="19" t="s">
        <v>129</v>
      </c>
      <c r="M116" s="187">
        <v>25</v>
      </c>
      <c r="N116" s="187">
        <v>33.4</v>
      </c>
    </row>
    <row r="117" spans="4:14" x14ac:dyDescent="0.3">
      <c r="D117" s="10"/>
      <c r="E117" s="10"/>
      <c r="H117" s="13" t="s">
        <v>695</v>
      </c>
      <c r="I117" s="17" t="s">
        <v>696</v>
      </c>
      <c r="J117" s="19" t="s">
        <v>129</v>
      </c>
      <c r="M117" s="187">
        <v>40</v>
      </c>
      <c r="N117" s="187">
        <v>48.26</v>
      </c>
    </row>
    <row r="118" spans="4:14" x14ac:dyDescent="0.3">
      <c r="D118" s="10"/>
      <c r="E118" s="10"/>
      <c r="H118" s="13" t="s">
        <v>697</v>
      </c>
      <c r="I118" s="17" t="s">
        <v>698</v>
      </c>
      <c r="J118" s="19" t="s">
        <v>129</v>
      </c>
      <c r="M118" s="187">
        <v>50</v>
      </c>
      <c r="N118" s="187">
        <v>60.32</v>
      </c>
    </row>
    <row r="119" spans="4:14" x14ac:dyDescent="0.3">
      <c r="D119" s="10"/>
      <c r="E119" s="10"/>
      <c r="H119" s="13" t="s">
        <v>699</v>
      </c>
      <c r="I119" s="13" t="s">
        <v>700</v>
      </c>
      <c r="J119" s="18" t="s">
        <v>130</v>
      </c>
      <c r="M119" s="187">
        <v>65</v>
      </c>
      <c r="N119" s="187">
        <v>73.02</v>
      </c>
    </row>
    <row r="120" spans="4:14" x14ac:dyDescent="0.3">
      <c r="D120" s="10"/>
      <c r="E120" s="10"/>
      <c r="M120" s="187">
        <v>80</v>
      </c>
      <c r="N120" s="187">
        <v>88.9</v>
      </c>
    </row>
    <row r="121" spans="4:14" x14ac:dyDescent="0.3">
      <c r="D121" s="10"/>
      <c r="E121" s="10"/>
      <c r="M121" s="187">
        <v>100</v>
      </c>
      <c r="N121" s="187">
        <v>114.3</v>
      </c>
    </row>
    <row r="122" spans="4:14" x14ac:dyDescent="0.3">
      <c r="D122" s="10"/>
      <c r="E122" s="10"/>
      <c r="M122" s="187">
        <v>150</v>
      </c>
      <c r="N122" s="187">
        <v>168.28</v>
      </c>
    </row>
    <row r="123" spans="4:14" x14ac:dyDescent="0.3">
      <c r="D123" s="10"/>
      <c r="E123" s="10"/>
      <c r="M123" s="187">
        <v>200</v>
      </c>
      <c r="N123" s="187">
        <v>219.08</v>
      </c>
    </row>
    <row r="124" spans="4:14" x14ac:dyDescent="0.3">
      <c r="D124" s="10"/>
      <c r="E124" s="10"/>
      <c r="M124" s="187">
        <v>250</v>
      </c>
      <c r="N124" s="187">
        <v>273.05</v>
      </c>
    </row>
    <row r="125" spans="4:14" x14ac:dyDescent="0.3">
      <c r="D125" s="10"/>
      <c r="E125" s="10"/>
      <c r="M125" s="187">
        <v>300</v>
      </c>
      <c r="N125" s="187">
        <v>323.85000000000002</v>
      </c>
    </row>
    <row r="126" spans="4:14" x14ac:dyDescent="0.3">
      <c r="D126" s="10"/>
      <c r="E126" s="10"/>
      <c r="M126" s="187">
        <v>350</v>
      </c>
      <c r="N126" s="187">
        <v>355.6</v>
      </c>
    </row>
    <row r="127" spans="4:14" x14ac:dyDescent="0.3">
      <c r="D127" s="10"/>
      <c r="E127" s="10"/>
      <c r="M127" s="187">
        <v>400</v>
      </c>
      <c r="N127" s="187">
        <v>406.4</v>
      </c>
    </row>
    <row r="128" spans="4:14" x14ac:dyDescent="0.3">
      <c r="D128" s="10"/>
      <c r="E128" s="10"/>
      <c r="M128" s="187">
        <v>450</v>
      </c>
      <c r="N128" s="187">
        <v>457.2</v>
      </c>
    </row>
    <row r="129" spans="4:14" x14ac:dyDescent="0.3">
      <c r="D129" s="10"/>
      <c r="E129" s="10"/>
      <c r="M129" s="187">
        <v>500</v>
      </c>
      <c r="N129" s="187">
        <v>508</v>
      </c>
    </row>
    <row r="130" spans="4:14" x14ac:dyDescent="0.3">
      <c r="D130" s="10"/>
      <c r="E130" s="10"/>
      <c r="M130" s="187">
        <v>600</v>
      </c>
      <c r="N130" s="187">
        <v>609.4</v>
      </c>
    </row>
    <row r="131" spans="4:14" x14ac:dyDescent="0.3">
      <c r="D131" s="10"/>
      <c r="E131" s="10"/>
      <c r="M131" s="187">
        <v>650</v>
      </c>
      <c r="N131" s="187">
        <v>660.4</v>
      </c>
    </row>
    <row r="132" spans="4:14" x14ac:dyDescent="0.3">
      <c r="D132" s="10"/>
      <c r="E132" s="10"/>
      <c r="M132" s="187">
        <v>700</v>
      </c>
      <c r="N132" s="187">
        <v>711.2</v>
      </c>
    </row>
    <row r="133" spans="4:14" x14ac:dyDescent="0.3">
      <c r="D133" s="10"/>
      <c r="E133" s="10"/>
      <c r="M133" s="187">
        <v>750</v>
      </c>
      <c r="N133" s="187">
        <v>762</v>
      </c>
    </row>
    <row r="134" spans="4:14" x14ac:dyDescent="0.3">
      <c r="D134" s="10"/>
      <c r="E134" s="10"/>
      <c r="M134" s="187">
        <v>800</v>
      </c>
      <c r="N134" s="187">
        <v>812.8</v>
      </c>
    </row>
    <row r="135" spans="4:14" x14ac:dyDescent="0.3">
      <c r="D135" s="10"/>
      <c r="E135" s="10"/>
      <c r="M135" s="187">
        <v>900</v>
      </c>
      <c r="N135" s="187">
        <v>914.4</v>
      </c>
    </row>
    <row r="136" spans="4:14" x14ac:dyDescent="0.3">
      <c r="D136" s="10"/>
      <c r="E136" s="10"/>
      <c r="M136" s="187">
        <v>1100</v>
      </c>
      <c r="N136" s="187">
        <v>1066.8</v>
      </c>
    </row>
    <row r="137" spans="4:14" x14ac:dyDescent="0.3">
      <c r="D137" s="10"/>
      <c r="E137" s="10"/>
      <c r="M137" s="187">
        <v>1200</v>
      </c>
      <c r="N137" s="187">
        <v>1219.2</v>
      </c>
    </row>
    <row r="138" spans="4:14" x14ac:dyDescent="0.3">
      <c r="D138" s="10"/>
      <c r="E138" s="10"/>
      <c r="M138" s="188"/>
    </row>
    <row r="139" spans="4:14" x14ac:dyDescent="0.3">
      <c r="D139" s="10"/>
      <c r="E139" s="10"/>
    </row>
    <row r="140" spans="4:14" x14ac:dyDescent="0.3">
      <c r="D140" s="10"/>
      <c r="E140" s="10"/>
    </row>
    <row r="141" spans="4:14" x14ac:dyDescent="0.3">
      <c r="D141" s="10"/>
      <c r="E141" s="10"/>
    </row>
    <row r="142" spans="4:14" x14ac:dyDescent="0.3">
      <c r="D142" s="10"/>
      <c r="E142" s="10"/>
    </row>
    <row r="143" spans="4:14" x14ac:dyDescent="0.3">
      <c r="D143" s="10"/>
      <c r="E143" s="10"/>
    </row>
    <row r="144" spans="4:14" x14ac:dyDescent="0.3">
      <c r="D144" s="10"/>
      <c r="E144" s="10"/>
    </row>
    <row r="145" spans="4:5" x14ac:dyDescent="0.3">
      <c r="D145" s="10"/>
      <c r="E145" s="10"/>
    </row>
    <row r="146" spans="4:5" x14ac:dyDescent="0.3">
      <c r="D146" s="10"/>
      <c r="E146" s="10"/>
    </row>
    <row r="147" spans="4:5" x14ac:dyDescent="0.3">
      <c r="D147" s="10"/>
      <c r="E147" s="10"/>
    </row>
    <row r="148" spans="4:5" x14ac:dyDescent="0.3">
      <c r="D148" s="10"/>
      <c r="E148" s="10"/>
    </row>
    <row r="149" spans="4:5" x14ac:dyDescent="0.3">
      <c r="D149" s="10"/>
      <c r="E149" s="10"/>
    </row>
    <row r="150" spans="4:5" x14ac:dyDescent="0.3">
      <c r="D150" s="10"/>
      <c r="E150" s="10"/>
    </row>
    <row r="151" spans="4:5" x14ac:dyDescent="0.3">
      <c r="D151" s="10"/>
      <c r="E151" s="10"/>
    </row>
    <row r="152" spans="4:5" x14ac:dyDescent="0.3">
      <c r="D152" s="10"/>
      <c r="E152" s="10"/>
    </row>
    <row r="153" spans="4:5" x14ac:dyDescent="0.3">
      <c r="D153" s="10"/>
      <c r="E153" s="10"/>
    </row>
    <row r="154" spans="4:5" x14ac:dyDescent="0.3">
      <c r="D154" s="10"/>
      <c r="E154" s="10"/>
    </row>
    <row r="155" spans="4:5" x14ac:dyDescent="0.3">
      <c r="D155" s="10"/>
      <c r="E155" s="10"/>
    </row>
    <row r="156" spans="4:5" x14ac:dyDescent="0.3">
      <c r="D156" s="10"/>
      <c r="E156" s="10"/>
    </row>
    <row r="157" spans="4:5" x14ac:dyDescent="0.3">
      <c r="D157" s="10"/>
      <c r="E157" s="10"/>
    </row>
    <row r="158" spans="4:5" x14ac:dyDescent="0.3">
      <c r="D158" s="10"/>
      <c r="E158" s="10"/>
    </row>
    <row r="159" spans="4:5" x14ac:dyDescent="0.3">
      <c r="D159" s="10"/>
      <c r="E159" s="10"/>
    </row>
    <row r="160" spans="4:5" x14ac:dyDescent="0.3">
      <c r="D160" s="10"/>
      <c r="E160" s="10"/>
    </row>
    <row r="161" spans="4:5" x14ac:dyDescent="0.3">
      <c r="D161" s="10"/>
      <c r="E161" s="10"/>
    </row>
    <row r="162" spans="4:5" x14ac:dyDescent="0.3">
      <c r="D162" s="10"/>
      <c r="E162" s="10"/>
    </row>
    <row r="163" spans="4:5" x14ac:dyDescent="0.3">
      <c r="D163" s="10"/>
      <c r="E163" s="10"/>
    </row>
    <row r="164" spans="4:5" x14ac:dyDescent="0.3">
      <c r="D164" s="10"/>
      <c r="E164" s="10"/>
    </row>
    <row r="165" spans="4:5" x14ac:dyDescent="0.3">
      <c r="D165" s="10"/>
      <c r="E165" s="10"/>
    </row>
    <row r="166" spans="4:5" x14ac:dyDescent="0.3">
      <c r="D166" s="10"/>
      <c r="E166" s="10"/>
    </row>
    <row r="167" spans="4:5" x14ac:dyDescent="0.3">
      <c r="D167" s="10"/>
      <c r="E167" s="10"/>
    </row>
    <row r="168" spans="4:5" x14ac:dyDescent="0.3">
      <c r="D168" s="10"/>
      <c r="E168" s="10"/>
    </row>
    <row r="169" spans="4:5" x14ac:dyDescent="0.3">
      <c r="D169" s="10"/>
      <c r="E169" s="10"/>
    </row>
    <row r="170" spans="4:5" x14ac:dyDescent="0.3">
      <c r="D170" s="10"/>
      <c r="E170" s="10"/>
    </row>
    <row r="171" spans="4:5" x14ac:dyDescent="0.3">
      <c r="D171" s="10"/>
      <c r="E171" s="10"/>
    </row>
    <row r="172" spans="4:5" x14ac:dyDescent="0.3">
      <c r="D172" s="10"/>
      <c r="E172" s="10"/>
    </row>
    <row r="173" spans="4:5" x14ac:dyDescent="0.3">
      <c r="D173" s="10"/>
      <c r="E173" s="10"/>
    </row>
    <row r="174" spans="4:5" x14ac:dyDescent="0.3">
      <c r="D174" s="10"/>
      <c r="E174" s="10"/>
    </row>
    <row r="175" spans="4:5" x14ac:dyDescent="0.3">
      <c r="D175" s="10"/>
      <c r="E175" s="10"/>
    </row>
    <row r="176" spans="4:5" x14ac:dyDescent="0.3">
      <c r="D176" s="10"/>
      <c r="E176" s="10"/>
    </row>
    <row r="177" spans="4:5" x14ac:dyDescent="0.3">
      <c r="D177" s="10"/>
      <c r="E177" s="10"/>
    </row>
    <row r="178" spans="4:5" x14ac:dyDescent="0.3">
      <c r="D178" s="10"/>
      <c r="E178" s="10"/>
    </row>
    <row r="179" spans="4:5" x14ac:dyDescent="0.3">
      <c r="D179" s="10"/>
      <c r="E179" s="10"/>
    </row>
    <row r="180" spans="4:5" x14ac:dyDescent="0.3">
      <c r="D180" s="10"/>
      <c r="E180" s="10"/>
    </row>
    <row r="181" spans="4:5" x14ac:dyDescent="0.3">
      <c r="D181" s="10"/>
      <c r="E181" s="10"/>
    </row>
    <row r="182" spans="4:5" x14ac:dyDescent="0.3">
      <c r="D182" s="10"/>
      <c r="E182" s="10"/>
    </row>
    <row r="183" spans="4:5" x14ac:dyDescent="0.3">
      <c r="D183" s="10"/>
      <c r="E183" s="10"/>
    </row>
    <row r="184" spans="4:5" x14ac:dyDescent="0.3">
      <c r="D184" s="10"/>
      <c r="E184" s="10"/>
    </row>
    <row r="185" spans="4:5" x14ac:dyDescent="0.3">
      <c r="D185" s="10"/>
      <c r="E185" s="10"/>
    </row>
    <row r="186" spans="4:5" x14ac:dyDescent="0.3">
      <c r="D186" s="10"/>
      <c r="E186" s="10"/>
    </row>
    <row r="187" spans="4:5" x14ac:dyDescent="0.3">
      <c r="D187" s="10"/>
      <c r="E187" s="10"/>
    </row>
    <row r="188" spans="4:5" x14ac:dyDescent="0.3">
      <c r="D188" s="10"/>
      <c r="E188" s="10"/>
    </row>
    <row r="189" spans="4:5" x14ac:dyDescent="0.3">
      <c r="D189" s="10"/>
      <c r="E189" s="10"/>
    </row>
    <row r="190" spans="4:5" x14ac:dyDescent="0.3">
      <c r="D190" s="10"/>
      <c r="E190" s="10"/>
    </row>
    <row r="191" spans="4:5" x14ac:dyDescent="0.3">
      <c r="D191" s="10"/>
      <c r="E191" s="10"/>
    </row>
    <row r="192" spans="4:5" x14ac:dyDescent="0.3">
      <c r="D192" s="10"/>
      <c r="E192" s="10"/>
    </row>
    <row r="193" spans="4:5" x14ac:dyDescent="0.3">
      <c r="D193" s="10"/>
      <c r="E193" s="10"/>
    </row>
  </sheetData>
  <sheetProtection algorithmName="SHA-512" hashValue="O4qRMVAljG9pp5uls2SoaFzFTvqzulTM6EvSgXMIHokzo4r4jI+I6oenIiNiKifPpAPco1P+mlT97GKCIFG/0A==" saltValue="RkZMNqitSJQwi+Ho0+89Eg==" spinCount="100000" sheet="1" objects="1" scenarios="1"/>
  <sortState xmlns:xlrd2="http://schemas.microsoft.com/office/spreadsheetml/2017/richdata2" ref="AH2:AL38">
    <sortCondition ref="AH2:AH38"/>
  </sortState>
  <pageMargins left="0.7" right="0.7" top="0.75" bottom="0.75" header="0.3" footer="0.3"/>
  <pageSetup orientation="portrait" r:id="rId1"/>
  <legacyDrawing r:id="rId2"/>
  <tableParts count="8">
    <tablePart r:id="rId3"/>
    <tablePart r:id="rId4"/>
    <tablePart r:id="rId5"/>
    <tablePart r:id="rId6"/>
    <tablePart r:id="rId7"/>
    <tablePart r:id="rId8"/>
    <tablePart r:id="rId9"/>
    <tablePart r:id="rId10"/>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Z1101"/>
  <sheetViews>
    <sheetView topLeftCell="A349" zoomScale="85" zoomScaleNormal="85" workbookViewId="0">
      <selection activeCell="R94" sqref="R94"/>
    </sheetView>
  </sheetViews>
  <sheetFormatPr baseColWidth="10" defaultColWidth="9.109375" defaultRowHeight="14.4" x14ac:dyDescent="0.3"/>
  <cols>
    <col min="1" max="1" width="10.109375" style="168" customWidth="1"/>
    <col min="2" max="6" width="9.109375" style="167"/>
    <col min="7" max="14" width="9.109375" style="167" customWidth="1"/>
    <col min="15" max="15" width="9.6640625" bestFit="1" customWidth="1"/>
    <col min="31" max="31" width="11.5546875" bestFit="1" customWidth="1"/>
    <col min="35" max="35" width="10.44140625" bestFit="1" customWidth="1"/>
    <col min="45" max="45" width="2.33203125" customWidth="1"/>
    <col min="46" max="46" width="5.6640625" bestFit="1" customWidth="1"/>
    <col min="47" max="47" width="12.6640625" bestFit="1" customWidth="1"/>
    <col min="48" max="48" width="14" bestFit="1" customWidth="1"/>
    <col min="49" max="49" width="14.44140625" bestFit="1" customWidth="1"/>
    <col min="50" max="50" width="12.109375" bestFit="1" customWidth="1"/>
    <col min="51" max="51" width="14" bestFit="1" customWidth="1"/>
    <col min="52" max="52" width="12" bestFit="1" customWidth="1"/>
    <col min="53" max="54" width="3.88671875" customWidth="1"/>
    <col min="55" max="55" width="5" bestFit="1" customWidth="1"/>
    <col min="56" max="56" width="6.6640625" bestFit="1" customWidth="1"/>
    <col min="57" max="57" width="10.33203125" customWidth="1"/>
    <col min="58" max="58" width="4" bestFit="1" customWidth="1"/>
    <col min="59" max="59" width="6" bestFit="1" customWidth="1"/>
    <col min="60" max="63" width="4" bestFit="1" customWidth="1"/>
    <col min="64" max="72" width="4.33203125" bestFit="1" customWidth="1"/>
  </cols>
  <sheetData>
    <row r="1" spans="1:34" x14ac:dyDescent="0.3">
      <c r="A1" s="316" t="s">
        <v>701</v>
      </c>
      <c r="B1" s="316"/>
      <c r="C1" s="316"/>
      <c r="D1" s="316"/>
      <c r="E1" s="316"/>
      <c r="F1" s="316"/>
      <c r="G1" s="316"/>
      <c r="H1" s="316"/>
      <c r="I1" s="316"/>
      <c r="J1" s="316"/>
      <c r="K1" s="316"/>
      <c r="L1" s="316"/>
      <c r="M1" s="316"/>
      <c r="N1" s="316"/>
      <c r="P1" s="316" t="s">
        <v>702</v>
      </c>
      <c r="Q1" s="316"/>
      <c r="R1" s="316"/>
      <c r="S1" s="316"/>
      <c r="T1" s="316"/>
      <c r="U1" s="316"/>
      <c r="V1" s="316"/>
      <c r="W1" s="316"/>
      <c r="X1" s="316"/>
      <c r="Y1" s="316"/>
      <c r="Z1" s="316"/>
      <c r="AA1" s="316"/>
      <c r="AB1" s="316"/>
      <c r="AC1" s="316"/>
    </row>
    <row r="2" spans="1:34" x14ac:dyDescent="0.3">
      <c r="A2" s="83"/>
      <c r="B2" s="84"/>
      <c r="C2" s="84"/>
      <c r="D2" s="84"/>
      <c r="E2" s="84"/>
      <c r="F2" s="84"/>
      <c r="G2" s="84"/>
      <c r="H2" s="84"/>
      <c r="I2" s="84"/>
      <c r="J2" s="84"/>
      <c r="K2" s="84"/>
      <c r="L2" s="84"/>
      <c r="M2" s="84"/>
      <c r="N2" s="84"/>
      <c r="P2" s="83"/>
      <c r="Q2" s="84"/>
      <c r="R2" s="84"/>
      <c r="S2" s="84"/>
      <c r="T2" s="84"/>
      <c r="U2" s="84"/>
      <c r="V2" s="84"/>
      <c r="W2" s="84"/>
      <c r="X2" s="84"/>
      <c r="Y2" s="84"/>
      <c r="Z2" s="84"/>
      <c r="AA2" s="84"/>
      <c r="AB2" s="84"/>
      <c r="AC2" s="84"/>
      <c r="AF2" s="195"/>
      <c r="AG2" s="196"/>
      <c r="AH2" s="197"/>
    </row>
    <row r="3" spans="1:34" x14ac:dyDescent="0.3">
      <c r="A3" s="85" t="s">
        <v>703</v>
      </c>
      <c r="B3" s="100" t="s">
        <v>704</v>
      </c>
      <c r="C3" s="100" t="s">
        <v>705</v>
      </c>
      <c r="D3" s="100" t="s">
        <v>706</v>
      </c>
      <c r="E3" s="100" t="s">
        <v>707</v>
      </c>
      <c r="F3" s="100" t="s">
        <v>708</v>
      </c>
      <c r="G3" s="100" t="s">
        <v>709</v>
      </c>
      <c r="H3" s="100" t="s">
        <v>710</v>
      </c>
      <c r="I3" s="100" t="s">
        <v>711</v>
      </c>
      <c r="J3" s="100" t="s">
        <v>712</v>
      </c>
      <c r="K3" s="100" t="s">
        <v>713</v>
      </c>
      <c r="L3" s="100" t="s">
        <v>714</v>
      </c>
      <c r="M3" s="100" t="s">
        <v>715</v>
      </c>
      <c r="N3" s="100" t="s">
        <v>716</v>
      </c>
      <c r="P3" s="86" t="s">
        <v>717</v>
      </c>
      <c r="Q3" s="183" t="s">
        <v>704</v>
      </c>
      <c r="R3" s="183" t="s">
        <v>705</v>
      </c>
      <c r="S3" s="183" t="s">
        <v>706</v>
      </c>
      <c r="T3" s="183" t="s">
        <v>707</v>
      </c>
      <c r="U3" s="183" t="s">
        <v>708</v>
      </c>
      <c r="V3" s="183" t="s">
        <v>709</v>
      </c>
      <c r="W3" s="183" t="s">
        <v>710</v>
      </c>
      <c r="X3" s="183" t="s">
        <v>711</v>
      </c>
      <c r="Y3" s="183" t="s">
        <v>712</v>
      </c>
      <c r="Z3" s="183" t="s">
        <v>713</v>
      </c>
      <c r="AA3" s="183" t="s">
        <v>714</v>
      </c>
      <c r="AB3" s="183" t="s">
        <v>715</v>
      </c>
      <c r="AC3" s="183" t="s">
        <v>716</v>
      </c>
      <c r="AF3" s="195"/>
      <c r="AG3" s="196"/>
      <c r="AH3" s="197"/>
    </row>
    <row r="4" spans="1:34" x14ac:dyDescent="0.3">
      <c r="A4" s="179" t="s">
        <v>718</v>
      </c>
      <c r="B4" s="101">
        <v>0.44</v>
      </c>
      <c r="C4" s="100"/>
      <c r="D4" s="100"/>
      <c r="E4" s="100">
        <v>0.44</v>
      </c>
      <c r="F4" s="100">
        <v>0.44</v>
      </c>
      <c r="G4" s="100"/>
      <c r="H4" s="100">
        <v>0.44</v>
      </c>
      <c r="I4" s="101">
        <v>0.44</v>
      </c>
      <c r="J4" s="101"/>
      <c r="K4" s="100"/>
      <c r="L4" s="101"/>
      <c r="M4" s="101">
        <v>0.44</v>
      </c>
      <c r="N4" s="101">
        <v>0.44</v>
      </c>
      <c r="P4" s="179" t="s">
        <v>718</v>
      </c>
      <c r="Q4" s="183">
        <v>0.51</v>
      </c>
      <c r="R4" s="100"/>
      <c r="S4" s="100"/>
      <c r="T4" s="183">
        <v>0.51</v>
      </c>
      <c r="U4" s="183">
        <v>0.51</v>
      </c>
      <c r="V4" s="100"/>
      <c r="W4" s="183">
        <v>0.51</v>
      </c>
      <c r="X4" s="101">
        <v>0.51</v>
      </c>
      <c r="Y4" s="100"/>
      <c r="Z4" s="100"/>
      <c r="AA4" s="100"/>
      <c r="AB4" s="101">
        <v>0.51</v>
      </c>
      <c r="AC4" s="101">
        <v>0.51</v>
      </c>
      <c r="AF4" s="195"/>
      <c r="AG4" s="196"/>
      <c r="AH4" s="197"/>
    </row>
    <row r="5" spans="1:34" x14ac:dyDescent="0.3">
      <c r="A5" s="179" t="s">
        <v>719</v>
      </c>
      <c r="B5" s="101">
        <v>0.61</v>
      </c>
      <c r="C5" s="100"/>
      <c r="D5" s="100"/>
      <c r="E5" s="100">
        <v>0.61</v>
      </c>
      <c r="F5" s="100">
        <v>0.61</v>
      </c>
      <c r="G5" s="100"/>
      <c r="H5" s="100">
        <v>0.61</v>
      </c>
      <c r="I5" s="101">
        <v>0.61</v>
      </c>
      <c r="J5" s="101"/>
      <c r="K5" s="100"/>
      <c r="L5" s="101"/>
      <c r="M5" s="101">
        <v>0.61</v>
      </c>
      <c r="N5" s="101">
        <v>0.61</v>
      </c>
      <c r="P5" s="179" t="s">
        <v>719</v>
      </c>
      <c r="Q5" s="183">
        <v>0.66</v>
      </c>
      <c r="R5" s="100"/>
      <c r="S5" s="100"/>
      <c r="T5" s="183">
        <v>0.66</v>
      </c>
      <c r="U5" s="183">
        <v>0.66</v>
      </c>
      <c r="V5" s="100"/>
      <c r="W5" s="183">
        <v>0.66</v>
      </c>
      <c r="X5" s="101">
        <v>0.66</v>
      </c>
      <c r="Y5" s="100"/>
      <c r="Z5" s="100"/>
      <c r="AA5" s="100"/>
      <c r="AB5" s="101">
        <v>0.66</v>
      </c>
      <c r="AC5" s="101">
        <v>0.66</v>
      </c>
      <c r="AF5" s="195"/>
      <c r="AG5" s="196"/>
      <c r="AH5" s="197"/>
    </row>
    <row r="6" spans="1:34" x14ac:dyDescent="0.3">
      <c r="A6" s="179">
        <v>1</v>
      </c>
      <c r="B6" s="101">
        <v>0.82</v>
      </c>
      <c r="C6" s="100"/>
      <c r="D6" s="100"/>
      <c r="E6" s="100">
        <v>0.82</v>
      </c>
      <c r="F6" s="100">
        <v>0.82</v>
      </c>
      <c r="G6" s="100"/>
      <c r="H6" s="100">
        <v>0.82</v>
      </c>
      <c r="I6" s="101">
        <v>0.82</v>
      </c>
      <c r="J6" s="101"/>
      <c r="K6" s="100"/>
      <c r="L6" s="101"/>
      <c r="M6" s="101">
        <v>0.82</v>
      </c>
      <c r="N6" s="101">
        <v>0.82</v>
      </c>
      <c r="P6" s="179">
        <v>1</v>
      </c>
      <c r="Q6" s="183">
        <v>0.88</v>
      </c>
      <c r="R6" s="100"/>
      <c r="S6" s="100"/>
      <c r="T6" s="183">
        <v>0.88</v>
      </c>
      <c r="U6" s="183">
        <v>0.88</v>
      </c>
      <c r="V6" s="100"/>
      <c r="W6" s="183">
        <v>0.88</v>
      </c>
      <c r="X6" s="101">
        <v>0.88</v>
      </c>
      <c r="Y6" s="100"/>
      <c r="Z6" s="100"/>
      <c r="AA6" s="100"/>
      <c r="AB6" s="101">
        <v>0.88</v>
      </c>
      <c r="AC6" s="101">
        <v>0.88</v>
      </c>
      <c r="AF6" s="195"/>
      <c r="AG6" s="196"/>
      <c r="AH6" s="197"/>
    </row>
    <row r="7" spans="1:34" x14ac:dyDescent="0.3">
      <c r="A7" s="179" t="s">
        <v>720</v>
      </c>
      <c r="B7" s="101">
        <v>1.05</v>
      </c>
      <c r="C7" s="100"/>
      <c r="D7" s="100"/>
      <c r="E7" s="100">
        <v>1.05</v>
      </c>
      <c r="F7" s="100">
        <v>1.05</v>
      </c>
      <c r="G7" s="100"/>
      <c r="H7" s="100">
        <v>1.05</v>
      </c>
      <c r="I7" s="101">
        <v>1.05</v>
      </c>
      <c r="J7" s="101"/>
      <c r="K7" s="100"/>
      <c r="L7" s="101"/>
      <c r="M7" s="101">
        <v>1.05</v>
      </c>
      <c r="N7" s="101">
        <v>1.17</v>
      </c>
      <c r="P7" s="179" t="s">
        <v>720</v>
      </c>
      <c r="Q7" s="183">
        <v>1.1200000000000001</v>
      </c>
      <c r="R7" s="100"/>
      <c r="S7" s="100"/>
      <c r="T7" s="183">
        <v>1.1200000000000001</v>
      </c>
      <c r="U7" s="183">
        <v>1.1200000000000001</v>
      </c>
      <c r="V7" s="100"/>
      <c r="W7" s="183">
        <v>1.1200000000000001</v>
      </c>
      <c r="X7" s="101">
        <v>1.1200000000000001</v>
      </c>
      <c r="Y7" s="100"/>
      <c r="Z7" s="100"/>
      <c r="AA7" s="100"/>
      <c r="AB7" s="101">
        <v>1.1200000000000001</v>
      </c>
      <c r="AC7" s="101">
        <v>1.25</v>
      </c>
      <c r="AF7" s="195"/>
      <c r="AG7" s="196"/>
      <c r="AH7" s="197"/>
    </row>
    <row r="8" spans="1:34" x14ac:dyDescent="0.3">
      <c r="A8" s="179">
        <v>2</v>
      </c>
      <c r="B8" s="101">
        <v>1.26</v>
      </c>
      <c r="C8" s="100"/>
      <c r="D8" s="100"/>
      <c r="E8" s="100">
        <v>1.26</v>
      </c>
      <c r="F8" s="100">
        <v>1.26</v>
      </c>
      <c r="G8" s="100"/>
      <c r="H8" s="100">
        <v>1.26</v>
      </c>
      <c r="I8" s="101">
        <v>1.26</v>
      </c>
      <c r="J8" s="101"/>
      <c r="K8" s="100"/>
      <c r="L8" s="101"/>
      <c r="M8" s="101">
        <v>1.26</v>
      </c>
      <c r="N8" s="101">
        <v>1.41</v>
      </c>
      <c r="P8" s="179">
        <v>2</v>
      </c>
      <c r="Q8" s="183">
        <v>1.38</v>
      </c>
      <c r="R8" s="100"/>
      <c r="S8" s="100"/>
      <c r="T8" s="183">
        <v>1.38</v>
      </c>
      <c r="U8" s="183">
        <v>1.38</v>
      </c>
      <c r="V8" s="100"/>
      <c r="W8" s="183">
        <v>1.38</v>
      </c>
      <c r="X8" s="101">
        <v>1.38</v>
      </c>
      <c r="Y8" s="100"/>
      <c r="Z8" s="100"/>
      <c r="AA8" s="100"/>
      <c r="AB8" s="101">
        <v>1.38</v>
      </c>
      <c r="AC8" s="101">
        <v>1.53</v>
      </c>
      <c r="AF8" s="195"/>
      <c r="AG8" s="196"/>
      <c r="AH8" s="197"/>
    </row>
    <row r="9" spans="1:34" x14ac:dyDescent="0.3">
      <c r="A9" s="179" t="s">
        <v>721</v>
      </c>
      <c r="B9" s="101">
        <v>1.45</v>
      </c>
      <c r="C9" s="100"/>
      <c r="D9" s="100"/>
      <c r="E9" s="100">
        <v>1.45</v>
      </c>
      <c r="F9" s="100">
        <v>1.45</v>
      </c>
      <c r="G9" s="100"/>
      <c r="H9" s="100">
        <v>1.45</v>
      </c>
      <c r="I9" s="101">
        <v>1.45</v>
      </c>
      <c r="J9" s="101"/>
      <c r="K9" s="100"/>
      <c r="L9" s="101"/>
      <c r="M9" s="101">
        <v>1.45</v>
      </c>
      <c r="N9" s="101">
        <v>1.9</v>
      </c>
      <c r="P9" s="179" t="s">
        <v>721</v>
      </c>
      <c r="Q9" s="183">
        <v>1.53</v>
      </c>
      <c r="R9" s="100"/>
      <c r="S9" s="100"/>
      <c r="T9" s="183">
        <v>1.53</v>
      </c>
      <c r="U9" s="183">
        <v>1.53</v>
      </c>
      <c r="V9" s="100"/>
      <c r="W9" s="183">
        <v>1.53</v>
      </c>
      <c r="X9" s="101">
        <v>1.53</v>
      </c>
      <c r="Y9" s="100"/>
      <c r="Z9" s="100"/>
      <c r="AA9" s="100"/>
      <c r="AB9" s="101">
        <v>1.53</v>
      </c>
      <c r="AC9" s="101">
        <v>1.95</v>
      </c>
      <c r="AF9" s="195"/>
      <c r="AG9" s="196"/>
      <c r="AH9" s="197"/>
    </row>
    <row r="10" spans="1:34" x14ac:dyDescent="0.3">
      <c r="A10" s="179">
        <v>3</v>
      </c>
      <c r="B10" s="101">
        <v>1.61</v>
      </c>
      <c r="C10" s="100"/>
      <c r="D10" s="100"/>
      <c r="E10" s="100">
        <v>1.61</v>
      </c>
      <c r="F10" s="100">
        <v>1.61</v>
      </c>
      <c r="G10" s="100"/>
      <c r="H10" s="100">
        <v>1.61</v>
      </c>
      <c r="I10" s="101">
        <v>1.61</v>
      </c>
      <c r="J10" s="101"/>
      <c r="K10" s="100"/>
      <c r="L10" s="101"/>
      <c r="M10" s="101">
        <v>1.78</v>
      </c>
      <c r="N10" s="101">
        <v>2.1</v>
      </c>
      <c r="P10" s="179">
        <v>3</v>
      </c>
      <c r="Q10" s="183">
        <v>1.66</v>
      </c>
      <c r="R10" s="100"/>
      <c r="S10" s="100"/>
      <c r="T10" s="183">
        <v>1.66</v>
      </c>
      <c r="U10" s="183">
        <v>1.66</v>
      </c>
      <c r="V10" s="100"/>
      <c r="W10" s="183">
        <v>1.66</v>
      </c>
      <c r="X10" s="101">
        <v>1.66</v>
      </c>
      <c r="Y10" s="100"/>
      <c r="Z10" s="100"/>
      <c r="AA10" s="100"/>
      <c r="AB10" s="101">
        <v>1.83</v>
      </c>
      <c r="AC10" s="101">
        <v>2.12</v>
      </c>
      <c r="AF10" s="195"/>
      <c r="AG10" s="196"/>
      <c r="AH10" s="197"/>
    </row>
    <row r="11" spans="1:34" x14ac:dyDescent="0.3">
      <c r="A11" s="179">
        <v>4</v>
      </c>
      <c r="B11" s="101">
        <v>1.96</v>
      </c>
      <c r="C11" s="100"/>
      <c r="D11" s="100"/>
      <c r="E11" s="100">
        <v>1.96</v>
      </c>
      <c r="F11" s="100">
        <v>1.96</v>
      </c>
      <c r="G11" s="100"/>
      <c r="H11" s="100">
        <v>1.96</v>
      </c>
      <c r="I11" s="101">
        <v>1.96</v>
      </c>
      <c r="J11" s="101"/>
      <c r="K11" s="100">
        <v>2.16</v>
      </c>
      <c r="L11" s="101"/>
      <c r="M11" s="101">
        <v>2.54</v>
      </c>
      <c r="N11" s="101">
        <v>2.83</v>
      </c>
      <c r="P11" s="179">
        <v>4</v>
      </c>
      <c r="Q11" s="183">
        <v>2.02</v>
      </c>
      <c r="R11" s="100"/>
      <c r="S11" s="100"/>
      <c r="T11" s="183">
        <v>2.02</v>
      </c>
      <c r="U11" s="183">
        <v>2.02</v>
      </c>
      <c r="V11" s="100"/>
      <c r="W11" s="183">
        <v>2.02</v>
      </c>
      <c r="X11" s="101">
        <v>2.02</v>
      </c>
      <c r="Y11" s="100"/>
      <c r="Z11" s="101">
        <v>2.23</v>
      </c>
      <c r="AA11" s="100"/>
      <c r="AB11" s="101">
        <v>2.58</v>
      </c>
      <c r="AC11" s="101">
        <v>2.94</v>
      </c>
      <c r="AF11" s="195"/>
      <c r="AG11" s="196"/>
      <c r="AH11" s="197"/>
    </row>
    <row r="12" spans="1:34" x14ac:dyDescent="0.3">
      <c r="A12" s="179">
        <v>6</v>
      </c>
      <c r="B12" s="101">
        <v>2.5</v>
      </c>
      <c r="C12" s="100"/>
      <c r="D12" s="100"/>
      <c r="E12" s="100">
        <v>2.5</v>
      </c>
      <c r="F12" s="100">
        <v>2.5</v>
      </c>
      <c r="G12" s="100"/>
      <c r="H12" s="100">
        <v>2.76</v>
      </c>
      <c r="I12" s="101">
        <v>2.76</v>
      </c>
      <c r="J12" s="100"/>
      <c r="K12" s="100">
        <v>3.24</v>
      </c>
      <c r="L12" s="100"/>
      <c r="M12" s="101">
        <v>3.61</v>
      </c>
      <c r="N12" s="101">
        <v>4.0599999999999996</v>
      </c>
      <c r="P12" s="179">
        <v>6</v>
      </c>
      <c r="Q12" s="183">
        <v>2.6</v>
      </c>
      <c r="R12" s="100"/>
      <c r="S12" s="100"/>
      <c r="T12" s="183">
        <v>2.6</v>
      </c>
      <c r="U12" s="183">
        <v>2.6</v>
      </c>
      <c r="V12" s="100"/>
      <c r="W12" s="183">
        <v>2.88</v>
      </c>
      <c r="X12" s="101">
        <v>2.88</v>
      </c>
      <c r="Y12" s="101"/>
      <c r="Z12" s="101">
        <v>3.33</v>
      </c>
      <c r="AA12" s="100"/>
      <c r="AB12" s="101">
        <v>3.79</v>
      </c>
      <c r="AC12" s="101">
        <v>4.28</v>
      </c>
      <c r="AF12" s="195"/>
      <c r="AG12" s="196"/>
      <c r="AH12" s="197"/>
    </row>
    <row r="13" spans="1:34" x14ac:dyDescent="0.3">
      <c r="A13" s="179">
        <v>8</v>
      </c>
      <c r="B13" s="101">
        <v>3.06</v>
      </c>
      <c r="C13" s="101">
        <v>3.06</v>
      </c>
      <c r="D13" s="101">
        <v>3.06</v>
      </c>
      <c r="E13" s="100">
        <v>3.06</v>
      </c>
      <c r="F13" s="100">
        <v>3.06</v>
      </c>
      <c r="G13" s="100">
        <v>3.37</v>
      </c>
      <c r="H13" s="100">
        <v>3.37</v>
      </c>
      <c r="I13" s="101">
        <v>3.37</v>
      </c>
      <c r="J13" s="101">
        <v>3.96</v>
      </c>
      <c r="K13" s="100">
        <v>4.41</v>
      </c>
      <c r="L13" s="101">
        <v>4.95</v>
      </c>
      <c r="M13" s="101">
        <v>4.95</v>
      </c>
      <c r="N13" s="101">
        <v>4.95</v>
      </c>
      <c r="P13" s="179">
        <v>8</v>
      </c>
      <c r="Q13" s="183">
        <v>3.17</v>
      </c>
      <c r="R13" s="101">
        <v>3.17</v>
      </c>
      <c r="S13" s="101">
        <v>3.17</v>
      </c>
      <c r="T13" s="183">
        <v>3.17</v>
      </c>
      <c r="U13" s="183">
        <v>3.17</v>
      </c>
      <c r="V13" s="101">
        <v>3.51</v>
      </c>
      <c r="W13" s="183">
        <v>3.51</v>
      </c>
      <c r="X13" s="101">
        <v>3.51</v>
      </c>
      <c r="Y13" s="100">
        <v>4.07</v>
      </c>
      <c r="Z13" s="101">
        <v>4.63</v>
      </c>
      <c r="AA13" s="101">
        <v>5.23</v>
      </c>
      <c r="AB13" s="101">
        <v>5.23</v>
      </c>
      <c r="AC13" s="101">
        <v>5.23</v>
      </c>
      <c r="AF13" s="195"/>
      <c r="AG13" s="196"/>
      <c r="AH13" s="197"/>
    </row>
    <row r="14" spans="1:34" x14ac:dyDescent="0.3">
      <c r="A14" s="179">
        <v>10</v>
      </c>
      <c r="B14" s="101">
        <v>3.61</v>
      </c>
      <c r="C14" s="101">
        <v>3.61</v>
      </c>
      <c r="D14" s="101">
        <v>3.61</v>
      </c>
      <c r="E14" s="100">
        <v>3.61</v>
      </c>
      <c r="F14" s="100">
        <v>3.61</v>
      </c>
      <c r="G14" s="100">
        <v>3.97</v>
      </c>
      <c r="H14" s="100">
        <v>3.97</v>
      </c>
      <c r="I14" s="101">
        <v>4.66</v>
      </c>
      <c r="J14" s="101">
        <v>5.19</v>
      </c>
      <c r="K14" s="100">
        <v>5.82</v>
      </c>
      <c r="L14" s="101">
        <v>6.58</v>
      </c>
      <c r="M14" s="101">
        <v>7.87</v>
      </c>
      <c r="N14" s="101">
        <v>6.58</v>
      </c>
      <c r="P14" s="179">
        <v>10</v>
      </c>
      <c r="Q14" s="183">
        <v>3.74</v>
      </c>
      <c r="R14" s="101">
        <v>3.74</v>
      </c>
      <c r="S14" s="101">
        <v>3.74</v>
      </c>
      <c r="T14" s="183">
        <v>3.74</v>
      </c>
      <c r="U14" s="183">
        <v>3.74</v>
      </c>
      <c r="V14" s="101">
        <v>4.1500000000000004</v>
      </c>
      <c r="W14" s="183">
        <v>4.1500000000000004</v>
      </c>
      <c r="X14" s="101">
        <v>4.8099999999999996</v>
      </c>
      <c r="Y14" s="100">
        <v>5.47</v>
      </c>
      <c r="Z14" s="101">
        <v>6.18</v>
      </c>
      <c r="AA14" s="101">
        <v>7.03</v>
      </c>
      <c r="AB14" s="101">
        <v>8.42</v>
      </c>
      <c r="AC14" s="101">
        <v>7.03</v>
      </c>
      <c r="AF14" s="195"/>
      <c r="AG14" s="196"/>
      <c r="AH14" s="197"/>
    </row>
    <row r="15" spans="1:34" x14ac:dyDescent="0.3">
      <c r="A15" s="179">
        <v>12</v>
      </c>
      <c r="B15" s="101">
        <v>4.17</v>
      </c>
      <c r="C15" s="101">
        <v>4.17</v>
      </c>
      <c r="D15" s="101">
        <v>4.17</v>
      </c>
      <c r="E15" s="100">
        <v>4.17</v>
      </c>
      <c r="F15" s="100">
        <v>4.58</v>
      </c>
      <c r="G15" s="100">
        <v>5.38</v>
      </c>
      <c r="H15" s="100">
        <v>4.58</v>
      </c>
      <c r="I15" s="101">
        <v>5.98</v>
      </c>
      <c r="J15" s="101">
        <v>6.71</v>
      </c>
      <c r="K15" s="100">
        <v>7.58</v>
      </c>
      <c r="L15" s="101">
        <v>9.07</v>
      </c>
      <c r="M15" s="101">
        <v>11.14</v>
      </c>
      <c r="N15" s="101">
        <v>7.58</v>
      </c>
      <c r="P15" s="179">
        <v>12</v>
      </c>
      <c r="Q15" s="183">
        <v>4.32</v>
      </c>
      <c r="R15" s="101">
        <v>4.32</v>
      </c>
      <c r="S15" s="101">
        <v>4.32</v>
      </c>
      <c r="T15" s="183">
        <v>4.32</v>
      </c>
      <c r="U15" s="183">
        <v>4.79</v>
      </c>
      <c r="V15" s="101">
        <v>5.55</v>
      </c>
      <c r="W15" s="183">
        <v>4.79</v>
      </c>
      <c r="X15" s="101">
        <v>6.32</v>
      </c>
      <c r="Y15" s="100">
        <v>7.14</v>
      </c>
      <c r="Z15" s="101">
        <v>8.1199999999999992</v>
      </c>
      <c r="AA15" s="101">
        <v>9.73</v>
      </c>
      <c r="AB15" s="101">
        <v>12.07</v>
      </c>
      <c r="AC15" s="101">
        <v>8.1199999999999992</v>
      </c>
      <c r="AF15" s="195"/>
      <c r="AG15" s="196"/>
      <c r="AH15" s="197"/>
    </row>
    <row r="16" spans="1:34" x14ac:dyDescent="0.3">
      <c r="A16" s="179">
        <v>14</v>
      </c>
      <c r="B16" s="101">
        <v>4.71</v>
      </c>
      <c r="C16" s="101">
        <v>4.71</v>
      </c>
      <c r="D16" s="101">
        <v>4.71</v>
      </c>
      <c r="E16" s="100">
        <v>4.71</v>
      </c>
      <c r="F16" s="100">
        <v>5.18</v>
      </c>
      <c r="G16" s="100">
        <v>6.09</v>
      </c>
      <c r="H16" s="100">
        <v>5.18</v>
      </c>
      <c r="I16" s="101">
        <v>6.76</v>
      </c>
      <c r="J16" s="101">
        <v>8.56</v>
      </c>
      <c r="K16" s="100">
        <v>10.25</v>
      </c>
      <c r="L16" s="101">
        <v>11.65</v>
      </c>
      <c r="M16" s="101">
        <v>13.52</v>
      </c>
      <c r="N16" s="100"/>
      <c r="P16" s="179">
        <v>14</v>
      </c>
      <c r="Q16" s="183">
        <v>4.92</v>
      </c>
      <c r="R16" s="101">
        <v>4.92</v>
      </c>
      <c r="S16" s="101">
        <v>4.92</v>
      </c>
      <c r="T16" s="183">
        <v>4.92</v>
      </c>
      <c r="U16" s="183">
        <v>5.46</v>
      </c>
      <c r="V16" s="101">
        <v>6.32</v>
      </c>
      <c r="W16" s="183">
        <v>5.46</v>
      </c>
      <c r="X16" s="101">
        <v>7.2</v>
      </c>
      <c r="Y16" s="100">
        <v>9.25</v>
      </c>
      <c r="Z16" s="101">
        <v>11.08</v>
      </c>
      <c r="AA16" s="101">
        <v>12.67</v>
      </c>
      <c r="AB16" s="101">
        <v>14.8</v>
      </c>
      <c r="AC16" s="100"/>
      <c r="AF16" s="195"/>
      <c r="AG16" s="196"/>
      <c r="AH16" s="197"/>
    </row>
    <row r="17" spans="1:52" x14ac:dyDescent="0.3">
      <c r="A17" s="179">
        <v>16</v>
      </c>
      <c r="B17" s="101">
        <v>5.27</v>
      </c>
      <c r="C17" s="101">
        <v>5.27</v>
      </c>
      <c r="D17" s="101">
        <v>5.27</v>
      </c>
      <c r="E17" s="100">
        <v>5.27</v>
      </c>
      <c r="F17" s="100">
        <v>5.79</v>
      </c>
      <c r="G17" s="100">
        <v>7.56</v>
      </c>
      <c r="H17" s="100">
        <v>5.79</v>
      </c>
      <c r="I17" s="101">
        <v>8.4700000000000006</v>
      </c>
      <c r="J17" s="101">
        <v>11.45</v>
      </c>
      <c r="K17" s="100">
        <v>13.01</v>
      </c>
      <c r="L17" s="101">
        <v>15.09</v>
      </c>
      <c r="M17" s="101">
        <v>16.13</v>
      </c>
      <c r="N17" s="100"/>
      <c r="P17" s="179">
        <v>16</v>
      </c>
      <c r="Q17" s="183">
        <v>5.54</v>
      </c>
      <c r="R17" s="101">
        <v>5.54</v>
      </c>
      <c r="S17" s="101">
        <v>5.54</v>
      </c>
      <c r="T17" s="183">
        <v>5.54</v>
      </c>
      <c r="U17" s="183">
        <v>6.14</v>
      </c>
      <c r="V17" s="101">
        <v>8.1</v>
      </c>
      <c r="W17" s="183">
        <v>6.14</v>
      </c>
      <c r="X17" s="101">
        <v>9.14</v>
      </c>
      <c r="Y17" s="100">
        <v>12.45</v>
      </c>
      <c r="Z17" s="101">
        <v>14.24</v>
      </c>
      <c r="AA17" s="101">
        <v>16.62</v>
      </c>
      <c r="AB17" s="101">
        <v>17.8</v>
      </c>
      <c r="AC17" s="100"/>
      <c r="AF17" s="195"/>
      <c r="AG17" s="196"/>
      <c r="AH17" s="197"/>
    </row>
    <row r="18" spans="1:52" x14ac:dyDescent="0.3">
      <c r="A18" s="179">
        <v>18</v>
      </c>
      <c r="B18" s="101">
        <v>5.82</v>
      </c>
      <c r="C18" s="101">
        <v>5.82</v>
      </c>
      <c r="D18" s="101">
        <v>6.39</v>
      </c>
      <c r="E18" s="100">
        <v>5.82</v>
      </c>
      <c r="F18" s="100">
        <v>7.51</v>
      </c>
      <c r="G18" s="100">
        <v>8.34</v>
      </c>
      <c r="H18" s="100">
        <v>6.39</v>
      </c>
      <c r="I18" s="101">
        <v>10.54</v>
      </c>
      <c r="J18" s="101">
        <v>14.34</v>
      </c>
      <c r="K18" s="100">
        <v>15.49</v>
      </c>
      <c r="L18" s="101">
        <v>17.78</v>
      </c>
      <c r="M18" s="101">
        <v>20.36</v>
      </c>
      <c r="N18" s="100"/>
      <c r="P18" s="179">
        <v>18</v>
      </c>
      <c r="Q18" s="183">
        <v>6.14</v>
      </c>
      <c r="R18" s="101">
        <v>6.14</v>
      </c>
      <c r="S18" s="101">
        <v>6.8</v>
      </c>
      <c r="T18" s="183">
        <v>6.14</v>
      </c>
      <c r="U18" s="183">
        <v>7.89</v>
      </c>
      <c r="V18" s="101">
        <v>8.9700000000000006</v>
      </c>
      <c r="W18" s="183">
        <v>6.8</v>
      </c>
      <c r="X18" s="101">
        <v>11.5</v>
      </c>
      <c r="Y18" s="100">
        <v>15.77</v>
      </c>
      <c r="Z18" s="101">
        <v>17.079999999999998</v>
      </c>
      <c r="AA18" s="101">
        <v>19.71</v>
      </c>
      <c r="AB18" s="101">
        <v>22.68</v>
      </c>
      <c r="AC18" s="100"/>
    </row>
    <row r="19" spans="1:52" x14ac:dyDescent="0.3">
      <c r="A19" s="179">
        <v>20</v>
      </c>
      <c r="B19" s="101">
        <v>6.38</v>
      </c>
      <c r="C19" s="101">
        <v>6.38</v>
      </c>
      <c r="D19" s="101">
        <v>7</v>
      </c>
      <c r="E19" s="100">
        <v>6.38</v>
      </c>
      <c r="F19" s="100">
        <v>8.23</v>
      </c>
      <c r="G19" s="100">
        <v>10.23</v>
      </c>
      <c r="H19" s="100">
        <v>7</v>
      </c>
      <c r="I19" s="101">
        <v>13.82</v>
      </c>
      <c r="J19" s="101">
        <v>16.95</v>
      </c>
      <c r="K19" s="100">
        <v>18.2</v>
      </c>
      <c r="L19" s="101">
        <v>20.71</v>
      </c>
      <c r="M19" s="101">
        <v>23.83</v>
      </c>
      <c r="N19" s="100"/>
      <c r="P19" s="179">
        <v>20</v>
      </c>
      <c r="Q19" s="183">
        <v>6.75</v>
      </c>
      <c r="R19" s="101">
        <v>6.75</v>
      </c>
      <c r="S19" s="101">
        <v>7.48</v>
      </c>
      <c r="T19" s="183">
        <v>6.75</v>
      </c>
      <c r="U19" s="183">
        <v>8.67</v>
      </c>
      <c r="V19" s="101">
        <v>11.12</v>
      </c>
      <c r="W19" s="183">
        <v>7.48</v>
      </c>
      <c r="X19" s="101">
        <v>15.15</v>
      </c>
      <c r="Y19" s="100">
        <v>18.760000000000002</v>
      </c>
      <c r="Z19" s="101">
        <v>20.2</v>
      </c>
      <c r="AA19" s="101">
        <v>23.09</v>
      </c>
      <c r="AB19" s="101">
        <v>26.7</v>
      </c>
      <c r="AC19" s="100"/>
    </row>
    <row r="20" spans="1:52" x14ac:dyDescent="0.3">
      <c r="A20" s="179">
        <v>24</v>
      </c>
      <c r="B20" s="101">
        <v>7.64</v>
      </c>
      <c r="C20" s="101">
        <v>7.64</v>
      </c>
      <c r="D20" s="101">
        <v>9.86</v>
      </c>
      <c r="E20" s="100">
        <v>7.64</v>
      </c>
      <c r="F20" s="100">
        <v>10.94</v>
      </c>
      <c r="G20" s="100">
        <v>13.83</v>
      </c>
      <c r="H20" s="100">
        <v>8.39</v>
      </c>
      <c r="I20" s="101">
        <v>18.8</v>
      </c>
      <c r="J20" s="101">
        <v>23.29</v>
      </c>
      <c r="K20" s="100">
        <v>26.66</v>
      </c>
      <c r="L20" s="101">
        <v>30.03</v>
      </c>
      <c r="M20" s="101">
        <v>31.53</v>
      </c>
      <c r="N20" s="100"/>
      <c r="P20" s="179">
        <v>24</v>
      </c>
      <c r="Q20" s="183">
        <v>8.01</v>
      </c>
      <c r="R20" s="101">
        <v>8.01</v>
      </c>
      <c r="S20" s="101">
        <v>10.25</v>
      </c>
      <c r="T20" s="183">
        <v>8.01</v>
      </c>
      <c r="U20" s="183">
        <v>11.65</v>
      </c>
      <c r="V20" s="101">
        <v>14.92</v>
      </c>
      <c r="W20" s="183">
        <v>8.85</v>
      </c>
      <c r="X20" s="101">
        <v>20.41</v>
      </c>
      <c r="Y20" s="100">
        <v>25.5</v>
      </c>
      <c r="Z20" s="101">
        <v>29.32</v>
      </c>
      <c r="AA20" s="101">
        <v>33.130000000000003</v>
      </c>
      <c r="AB20" s="101">
        <v>34.83</v>
      </c>
      <c r="AC20" s="100"/>
    </row>
    <row r="21" spans="1:52" x14ac:dyDescent="0.3">
      <c r="A21" s="179">
        <v>26</v>
      </c>
      <c r="B21" s="101"/>
      <c r="C21" s="101">
        <v>8.2799999999999994</v>
      </c>
      <c r="D21" s="101">
        <v>10.68</v>
      </c>
      <c r="E21" s="100">
        <v>8.2799999999999994</v>
      </c>
      <c r="F21" s="100">
        <v>11.85</v>
      </c>
      <c r="G21" s="100"/>
      <c r="H21" s="100">
        <v>9.09</v>
      </c>
      <c r="I21" s="100"/>
      <c r="J21" s="100"/>
      <c r="K21" s="100"/>
      <c r="L21" s="100"/>
      <c r="M21" s="100"/>
      <c r="N21" s="100"/>
      <c r="P21" s="179">
        <v>26</v>
      </c>
      <c r="Q21" s="183"/>
      <c r="R21" s="101">
        <v>9.0399999999999991</v>
      </c>
      <c r="S21" s="101">
        <v>11.12</v>
      </c>
      <c r="T21" s="183">
        <v>8.69</v>
      </c>
      <c r="U21" s="183">
        <v>12.64</v>
      </c>
      <c r="V21" s="100"/>
      <c r="W21" s="183">
        <v>9.6</v>
      </c>
      <c r="X21" s="101"/>
      <c r="Y21" s="100"/>
      <c r="Z21" s="100"/>
      <c r="AA21" s="100"/>
      <c r="AB21" s="100"/>
      <c r="AC21" s="100"/>
    </row>
    <row r="22" spans="1:52" x14ac:dyDescent="0.3">
      <c r="A22" s="179">
        <v>28</v>
      </c>
      <c r="B22" s="101">
        <v>8.91</v>
      </c>
      <c r="C22" s="101">
        <v>8.91</v>
      </c>
      <c r="D22" s="101">
        <v>11.5</v>
      </c>
      <c r="E22" s="100">
        <v>8.91</v>
      </c>
      <c r="F22" s="100">
        <v>12.77</v>
      </c>
      <c r="G22" s="100"/>
      <c r="H22" s="100">
        <v>9.7899999999999991</v>
      </c>
      <c r="I22" s="100"/>
      <c r="J22" s="100"/>
      <c r="K22" s="100"/>
      <c r="L22" s="100"/>
      <c r="M22" s="100"/>
      <c r="N22" s="100"/>
      <c r="P22" s="179">
        <v>28</v>
      </c>
      <c r="Q22" s="183">
        <v>10.07</v>
      </c>
      <c r="R22" s="101">
        <v>10.07</v>
      </c>
      <c r="S22" s="101">
        <v>11.99</v>
      </c>
      <c r="T22" s="183">
        <v>9.36</v>
      </c>
      <c r="U22" s="183">
        <v>13.62</v>
      </c>
      <c r="V22" s="100"/>
      <c r="W22" s="183">
        <v>10.36</v>
      </c>
      <c r="X22" s="101"/>
      <c r="Y22" s="100"/>
      <c r="Z22" s="100"/>
      <c r="AA22" s="100"/>
      <c r="AB22" s="100"/>
      <c r="AC22" s="100"/>
    </row>
    <row r="23" spans="1:52" x14ac:dyDescent="0.3">
      <c r="A23" s="179">
        <v>30</v>
      </c>
      <c r="B23" s="101">
        <v>10.52</v>
      </c>
      <c r="C23" s="101">
        <v>10.52</v>
      </c>
      <c r="D23" s="101">
        <v>12.35</v>
      </c>
      <c r="E23" s="100">
        <v>9.58</v>
      </c>
      <c r="F23" s="100">
        <v>13.72</v>
      </c>
      <c r="G23" s="100"/>
      <c r="H23" s="100">
        <v>10.52</v>
      </c>
      <c r="I23" s="100"/>
      <c r="J23" s="100"/>
      <c r="K23" s="100"/>
      <c r="L23" s="100"/>
      <c r="M23" s="100"/>
      <c r="N23" s="100"/>
      <c r="P23" s="179">
        <v>30</v>
      </c>
      <c r="Q23" s="183">
        <v>11.11</v>
      </c>
      <c r="R23" s="101">
        <v>11.11</v>
      </c>
      <c r="S23" s="101">
        <v>12.85</v>
      </c>
      <c r="T23" s="183">
        <v>10.039999999999999</v>
      </c>
      <c r="U23" s="183">
        <v>14.61</v>
      </c>
      <c r="V23" s="100"/>
      <c r="W23" s="183">
        <v>11.11</v>
      </c>
      <c r="X23" s="101"/>
      <c r="Y23" s="100"/>
      <c r="Z23" s="100"/>
      <c r="AA23" s="100"/>
      <c r="AB23" s="100"/>
      <c r="AC23" s="100"/>
    </row>
    <row r="24" spans="1:52" x14ac:dyDescent="0.3">
      <c r="A24" s="179">
        <v>32</v>
      </c>
      <c r="B24" s="101">
        <v>11.22</v>
      </c>
      <c r="C24" s="101">
        <v>11.22</v>
      </c>
      <c r="D24" s="101">
        <v>13.18</v>
      </c>
      <c r="E24" s="100">
        <v>10.210000000000001</v>
      </c>
      <c r="F24" s="100">
        <v>14.64</v>
      </c>
      <c r="G24" s="100"/>
      <c r="H24" s="100">
        <v>11.22</v>
      </c>
      <c r="I24" s="100"/>
      <c r="J24" s="100"/>
      <c r="K24" s="100"/>
      <c r="L24" s="100"/>
      <c r="M24" s="100"/>
      <c r="N24" s="100"/>
      <c r="P24" s="179">
        <v>32</v>
      </c>
      <c r="Q24" s="183">
        <v>11.86</v>
      </c>
      <c r="R24" s="101">
        <v>11.86</v>
      </c>
      <c r="S24" s="101">
        <v>13.72</v>
      </c>
      <c r="T24" s="183">
        <v>10.73</v>
      </c>
      <c r="U24" s="183">
        <v>15.59</v>
      </c>
      <c r="V24" s="100"/>
      <c r="W24" s="183">
        <v>11.86</v>
      </c>
      <c r="X24" s="101"/>
      <c r="Y24" s="100"/>
      <c r="Z24" s="100"/>
      <c r="AA24" s="100"/>
      <c r="AB24" s="100"/>
      <c r="AC24" s="100"/>
    </row>
    <row r="25" spans="1:52" x14ac:dyDescent="0.3">
      <c r="A25" s="179">
        <v>36</v>
      </c>
      <c r="B25" s="100"/>
      <c r="C25" s="101">
        <v>12.66</v>
      </c>
      <c r="D25" s="101">
        <v>14.86</v>
      </c>
      <c r="E25" s="100">
        <v>11.52</v>
      </c>
      <c r="F25" s="100">
        <v>16.510000000000002</v>
      </c>
      <c r="G25" s="100"/>
      <c r="H25" s="100">
        <v>12.66</v>
      </c>
      <c r="I25" s="100"/>
      <c r="J25" s="100"/>
      <c r="K25" s="100"/>
      <c r="L25" s="100"/>
      <c r="M25" s="100"/>
      <c r="N25" s="100"/>
      <c r="P25" s="179">
        <v>36</v>
      </c>
      <c r="Q25" s="100"/>
      <c r="R25" s="101">
        <v>13.36</v>
      </c>
      <c r="S25" s="101">
        <v>15.46</v>
      </c>
      <c r="T25" s="183">
        <v>12.09</v>
      </c>
      <c r="U25" s="183">
        <v>17.57</v>
      </c>
      <c r="V25" s="100"/>
      <c r="W25" s="183">
        <v>13.36</v>
      </c>
      <c r="X25" s="101"/>
      <c r="Y25" s="100"/>
      <c r="Z25" s="100"/>
      <c r="AA25" s="100"/>
      <c r="AB25" s="100"/>
      <c r="AC25" s="100"/>
    </row>
    <row r="26" spans="1:52" x14ac:dyDescent="0.3">
      <c r="A26" s="179">
        <v>42</v>
      </c>
      <c r="B26" s="100"/>
      <c r="C26" s="100"/>
      <c r="D26" s="100"/>
      <c r="E26" s="100">
        <v>13.46</v>
      </c>
      <c r="F26" s="100"/>
      <c r="G26" s="100"/>
      <c r="H26" s="100"/>
      <c r="I26" s="100"/>
      <c r="J26" s="100"/>
      <c r="K26" s="100"/>
      <c r="L26" s="100"/>
      <c r="M26" s="100"/>
      <c r="N26" s="100"/>
      <c r="P26" s="179">
        <v>42</v>
      </c>
      <c r="Q26" s="100"/>
      <c r="R26" s="100"/>
      <c r="S26" s="100"/>
      <c r="T26" s="183">
        <v>14.13</v>
      </c>
      <c r="U26" s="100"/>
      <c r="V26" s="100"/>
      <c r="W26" s="100"/>
      <c r="X26" s="100"/>
      <c r="Y26" s="100"/>
      <c r="Z26" s="100"/>
      <c r="AA26" s="100"/>
      <c r="AB26" s="100"/>
      <c r="AC26" s="100"/>
    </row>
    <row r="27" spans="1:52" x14ac:dyDescent="0.3">
      <c r="A27" s="179">
        <v>48</v>
      </c>
      <c r="B27" s="100"/>
      <c r="C27" s="100"/>
      <c r="D27" s="100"/>
      <c r="E27" s="100">
        <v>15.4</v>
      </c>
      <c r="F27" s="100"/>
      <c r="G27" s="100"/>
      <c r="H27" s="100"/>
      <c r="I27" s="100"/>
      <c r="J27" s="100"/>
      <c r="K27" s="100"/>
      <c r="L27" s="100"/>
      <c r="M27" s="100"/>
      <c r="N27" s="100"/>
      <c r="P27" s="179">
        <v>48</v>
      </c>
      <c r="Q27" s="100"/>
      <c r="R27" s="100"/>
      <c r="S27" s="100"/>
      <c r="T27" s="183">
        <v>16.170000000000002</v>
      </c>
      <c r="U27" s="100"/>
      <c r="V27" s="100"/>
      <c r="W27" s="100"/>
      <c r="X27" s="100"/>
      <c r="Y27" s="100"/>
      <c r="Z27" s="100"/>
      <c r="AA27" s="100"/>
      <c r="AB27" s="100"/>
      <c r="AC27" s="100"/>
    </row>
    <row r="28" spans="1:52" x14ac:dyDescent="0.3">
      <c r="A28" s="83"/>
      <c r="B28" s="84"/>
      <c r="C28" s="84"/>
      <c r="D28" s="84"/>
      <c r="E28" s="84"/>
      <c r="F28" s="84"/>
      <c r="G28" s="84"/>
      <c r="H28" s="84"/>
      <c r="I28" s="84"/>
      <c r="J28" s="84"/>
      <c r="K28" s="84"/>
      <c r="L28" s="84"/>
      <c r="M28" s="84"/>
      <c r="N28" s="84"/>
      <c r="P28" s="83"/>
      <c r="Q28" s="84"/>
      <c r="R28" s="84"/>
      <c r="S28" s="84"/>
      <c r="T28" s="84"/>
      <c r="U28" s="84"/>
      <c r="V28" s="84"/>
      <c r="W28" s="84"/>
      <c r="X28" s="84"/>
      <c r="Y28" s="84"/>
      <c r="Z28" s="84"/>
      <c r="AA28" s="84"/>
      <c r="AB28" s="84"/>
      <c r="AC28" s="84"/>
    </row>
    <row r="29" spans="1:52" ht="30.6" x14ac:dyDescent="0.3">
      <c r="A29" s="85" t="s">
        <v>722</v>
      </c>
      <c r="B29" s="100" t="s">
        <v>704</v>
      </c>
      <c r="C29" s="100" t="s">
        <v>705</v>
      </c>
      <c r="D29" s="100" t="s">
        <v>706</v>
      </c>
      <c r="E29" s="100" t="s">
        <v>707</v>
      </c>
      <c r="F29" s="100" t="s">
        <v>708</v>
      </c>
      <c r="G29" s="100" t="s">
        <v>709</v>
      </c>
      <c r="H29" s="100" t="s">
        <v>710</v>
      </c>
      <c r="I29" s="100" t="s">
        <v>711</v>
      </c>
      <c r="J29" s="100" t="s">
        <v>712</v>
      </c>
      <c r="K29" s="100" t="s">
        <v>713</v>
      </c>
      <c r="L29" s="100" t="s">
        <v>714</v>
      </c>
      <c r="M29" s="100" t="s">
        <v>715</v>
      </c>
      <c r="N29" s="100" t="s">
        <v>716</v>
      </c>
      <c r="P29" s="86" t="s">
        <v>723</v>
      </c>
      <c r="Q29" s="183" t="s">
        <v>704</v>
      </c>
      <c r="R29" s="183" t="s">
        <v>705</v>
      </c>
      <c r="S29" s="183" t="s">
        <v>706</v>
      </c>
      <c r="T29" s="183" t="s">
        <v>707</v>
      </c>
      <c r="U29" s="183" t="s">
        <v>708</v>
      </c>
      <c r="V29" s="183" t="s">
        <v>709</v>
      </c>
      <c r="W29" s="183" t="s">
        <v>710</v>
      </c>
      <c r="X29" s="183" t="s">
        <v>711</v>
      </c>
      <c r="Y29" s="183" t="s">
        <v>712</v>
      </c>
      <c r="Z29" s="183" t="s">
        <v>713</v>
      </c>
      <c r="AA29" s="183" t="s">
        <v>714</v>
      </c>
      <c r="AB29" s="183" t="s">
        <v>715</v>
      </c>
      <c r="AC29" s="183" t="s">
        <v>716</v>
      </c>
      <c r="AE29" s="87" t="s">
        <v>724</v>
      </c>
      <c r="AF29" s="183" t="s">
        <v>704</v>
      </c>
      <c r="AG29" s="183" t="s">
        <v>705</v>
      </c>
      <c r="AH29" s="183" t="s">
        <v>706</v>
      </c>
      <c r="AI29" s="183" t="s">
        <v>707</v>
      </c>
      <c r="AJ29" s="183" t="s">
        <v>708</v>
      </c>
      <c r="AK29" s="183" t="s">
        <v>709</v>
      </c>
      <c r="AL29" s="183" t="s">
        <v>710</v>
      </c>
      <c r="AM29" s="183" t="s">
        <v>711</v>
      </c>
      <c r="AN29" s="183" t="s">
        <v>712</v>
      </c>
      <c r="AO29" s="183" t="s">
        <v>713</v>
      </c>
      <c r="AP29" s="183" t="s">
        <v>714</v>
      </c>
      <c r="AQ29" s="183" t="s">
        <v>715</v>
      </c>
      <c r="AR29" s="183" t="s">
        <v>716</v>
      </c>
      <c r="AS29" s="88"/>
      <c r="AT29" s="89"/>
      <c r="AU29" s="90" t="s">
        <v>725</v>
      </c>
      <c r="AV29" s="90" t="s">
        <v>726</v>
      </c>
      <c r="AW29" s="90" t="s">
        <v>727</v>
      </c>
      <c r="AX29" s="91" t="s">
        <v>728</v>
      </c>
      <c r="AY29" s="91" t="s">
        <v>729</v>
      </c>
      <c r="AZ29" s="91" t="s">
        <v>730</v>
      </c>
    </row>
    <row r="30" spans="1:52" x14ac:dyDescent="0.3">
      <c r="A30" s="179" t="s">
        <v>718</v>
      </c>
      <c r="B30" s="101">
        <v>0.48</v>
      </c>
      <c r="C30" s="100"/>
      <c r="D30" s="100"/>
      <c r="E30" s="100">
        <v>0.48</v>
      </c>
      <c r="F30" s="100">
        <v>0.48</v>
      </c>
      <c r="G30" s="100"/>
      <c r="H30" s="100">
        <v>0.48</v>
      </c>
      <c r="I30" s="101">
        <v>0.48</v>
      </c>
      <c r="J30" s="101"/>
      <c r="K30" s="100"/>
      <c r="L30" s="101"/>
      <c r="M30" s="101">
        <v>0.48</v>
      </c>
      <c r="N30" s="101">
        <v>0.48</v>
      </c>
      <c r="P30" s="179" t="s">
        <v>718</v>
      </c>
      <c r="Q30" s="183">
        <v>0.54</v>
      </c>
      <c r="R30" s="100"/>
      <c r="S30" s="100"/>
      <c r="T30" s="183">
        <v>0.54</v>
      </c>
      <c r="U30" s="183">
        <v>0.54</v>
      </c>
      <c r="V30" s="100"/>
      <c r="W30" s="183">
        <v>0.54</v>
      </c>
      <c r="X30" s="101">
        <v>0.54</v>
      </c>
      <c r="Y30" s="100"/>
      <c r="Z30" s="100"/>
      <c r="AA30" s="100"/>
      <c r="AB30" s="101">
        <v>0.54</v>
      </c>
      <c r="AC30" s="101">
        <v>0.54</v>
      </c>
      <c r="AE30" s="179" t="s">
        <v>718</v>
      </c>
      <c r="AF30" s="92" t="s">
        <v>731</v>
      </c>
      <c r="AG30" s="92" t="s">
        <v>731</v>
      </c>
      <c r="AH30" s="92" t="s">
        <v>731</v>
      </c>
      <c r="AI30" s="92">
        <v>2.77</v>
      </c>
      <c r="AJ30" s="92">
        <v>2.77</v>
      </c>
      <c r="AK30" s="92" t="s">
        <v>731</v>
      </c>
      <c r="AL30" s="92">
        <v>3.73</v>
      </c>
      <c r="AM30" s="92">
        <v>3.73</v>
      </c>
      <c r="AN30" s="92" t="s">
        <v>731</v>
      </c>
      <c r="AO30" s="92" t="s">
        <v>731</v>
      </c>
      <c r="AP30" s="92" t="s">
        <v>731</v>
      </c>
      <c r="AQ30" s="92">
        <v>4.75</v>
      </c>
      <c r="AR30" s="92">
        <v>7.47</v>
      </c>
      <c r="AS30" s="88"/>
      <c r="AT30" s="179" t="s">
        <v>718</v>
      </c>
      <c r="AU30" s="93">
        <v>0.06</v>
      </c>
      <c r="AV30" s="93" t="s">
        <v>731</v>
      </c>
      <c r="AW30" s="93" t="s">
        <v>731</v>
      </c>
      <c r="AX30" s="94">
        <v>0.12</v>
      </c>
      <c r="AY30" s="94" t="s">
        <v>731</v>
      </c>
      <c r="AZ30" s="94" t="s">
        <v>731</v>
      </c>
    </row>
    <row r="31" spans="1:52" x14ac:dyDescent="0.3">
      <c r="A31" s="179" t="s">
        <v>719</v>
      </c>
      <c r="B31" s="101">
        <v>0.64</v>
      </c>
      <c r="C31" s="100"/>
      <c r="D31" s="100"/>
      <c r="E31" s="100">
        <v>0.64</v>
      </c>
      <c r="F31" s="100">
        <v>0.64</v>
      </c>
      <c r="G31" s="100"/>
      <c r="H31" s="100">
        <v>0.64</v>
      </c>
      <c r="I31" s="101">
        <v>0.64</v>
      </c>
      <c r="J31" s="101"/>
      <c r="K31" s="100"/>
      <c r="L31" s="101"/>
      <c r="M31" s="101">
        <v>0.64</v>
      </c>
      <c r="N31" s="101">
        <v>0.64</v>
      </c>
      <c r="P31" s="179" t="s">
        <v>719</v>
      </c>
      <c r="Q31" s="183">
        <v>0.73</v>
      </c>
      <c r="R31" s="100"/>
      <c r="S31" s="100"/>
      <c r="T31" s="183">
        <v>0.73</v>
      </c>
      <c r="U31" s="183">
        <v>0.73</v>
      </c>
      <c r="V31" s="100"/>
      <c r="W31" s="183">
        <v>0.73</v>
      </c>
      <c r="X31" s="101">
        <v>0.73</v>
      </c>
      <c r="Y31" s="100"/>
      <c r="Z31" s="100"/>
      <c r="AA31" s="100"/>
      <c r="AB31" s="101">
        <v>0.73</v>
      </c>
      <c r="AC31" s="101">
        <v>0.73</v>
      </c>
      <c r="AE31" s="179" t="s">
        <v>719</v>
      </c>
      <c r="AF31" s="92">
        <v>2.11</v>
      </c>
      <c r="AG31" s="92" t="s">
        <v>731</v>
      </c>
      <c r="AH31" s="92" t="s">
        <v>731</v>
      </c>
      <c r="AI31" s="92">
        <v>2.87</v>
      </c>
      <c r="AJ31" s="92">
        <v>2.87</v>
      </c>
      <c r="AK31" s="92" t="s">
        <v>731</v>
      </c>
      <c r="AL31" s="92">
        <v>3.91</v>
      </c>
      <c r="AM31" s="92">
        <v>3.91</v>
      </c>
      <c r="AN31" s="92" t="s">
        <v>731</v>
      </c>
      <c r="AO31" s="92" t="s">
        <v>731</v>
      </c>
      <c r="AP31" s="92" t="s">
        <v>731</v>
      </c>
      <c r="AQ31" s="92">
        <v>5.54</v>
      </c>
      <c r="AR31" s="92">
        <v>7.82</v>
      </c>
      <c r="AS31" s="88"/>
      <c r="AT31" s="179" t="s">
        <v>719</v>
      </c>
      <c r="AU31" s="93">
        <v>0.1</v>
      </c>
      <c r="AV31" s="93" t="s">
        <v>731</v>
      </c>
      <c r="AW31" s="93" t="s">
        <v>731</v>
      </c>
      <c r="AX31" s="94">
        <v>0.19</v>
      </c>
      <c r="AY31" s="94" t="s">
        <v>731</v>
      </c>
      <c r="AZ31" s="94" t="s">
        <v>731</v>
      </c>
    </row>
    <row r="32" spans="1:52" x14ac:dyDescent="0.3">
      <c r="A32" s="179">
        <v>1</v>
      </c>
      <c r="B32" s="101">
        <v>0.9</v>
      </c>
      <c r="C32" s="100"/>
      <c r="D32" s="100"/>
      <c r="E32" s="100">
        <v>0.9</v>
      </c>
      <c r="F32" s="100">
        <v>0.9</v>
      </c>
      <c r="G32" s="100"/>
      <c r="H32" s="100">
        <v>0.9</v>
      </c>
      <c r="I32" s="101">
        <v>0.9</v>
      </c>
      <c r="J32" s="101"/>
      <c r="K32" s="100"/>
      <c r="L32" s="101"/>
      <c r="M32" s="101">
        <v>0.9</v>
      </c>
      <c r="N32" s="101">
        <v>0.9</v>
      </c>
      <c r="P32" s="179">
        <v>1</v>
      </c>
      <c r="Q32" s="183">
        <v>0.94</v>
      </c>
      <c r="R32" s="100"/>
      <c r="S32" s="100"/>
      <c r="T32" s="183">
        <v>0.94</v>
      </c>
      <c r="U32" s="183">
        <v>0.94</v>
      </c>
      <c r="V32" s="100"/>
      <c r="W32" s="183">
        <v>0.94</v>
      </c>
      <c r="X32" s="101">
        <v>0.94</v>
      </c>
      <c r="Y32" s="100"/>
      <c r="Z32" s="100"/>
      <c r="AA32" s="100"/>
      <c r="AB32" s="101">
        <v>0.94</v>
      </c>
      <c r="AC32" s="101">
        <v>0.94</v>
      </c>
      <c r="AE32" s="179">
        <v>1</v>
      </c>
      <c r="AF32" s="92">
        <v>2.77</v>
      </c>
      <c r="AG32" s="92" t="s">
        <v>731</v>
      </c>
      <c r="AH32" s="92" t="s">
        <v>731</v>
      </c>
      <c r="AI32" s="92">
        <v>3.38</v>
      </c>
      <c r="AJ32" s="92">
        <v>3.38</v>
      </c>
      <c r="AK32" s="92" t="s">
        <v>731</v>
      </c>
      <c r="AL32" s="92">
        <v>4.55</v>
      </c>
      <c r="AM32" s="92">
        <v>4.55</v>
      </c>
      <c r="AN32" s="92" t="s">
        <v>731</v>
      </c>
      <c r="AO32" s="92" t="s">
        <v>731</v>
      </c>
      <c r="AP32" s="92" t="s">
        <v>731</v>
      </c>
      <c r="AQ32" s="92">
        <v>6.35</v>
      </c>
      <c r="AR32" s="92">
        <v>9.09</v>
      </c>
      <c r="AS32" s="95"/>
      <c r="AT32" s="179">
        <v>1</v>
      </c>
      <c r="AU32" s="93">
        <v>0.12</v>
      </c>
      <c r="AV32" s="93" t="s">
        <v>731</v>
      </c>
      <c r="AW32" s="93" t="s">
        <v>731</v>
      </c>
      <c r="AX32" s="94">
        <v>0.24</v>
      </c>
      <c r="AY32" s="94" t="s">
        <v>731</v>
      </c>
      <c r="AZ32" s="94" t="s">
        <v>731</v>
      </c>
    </row>
    <row r="33" spans="1:52" x14ac:dyDescent="0.3">
      <c r="A33" s="179" t="s">
        <v>720</v>
      </c>
      <c r="B33" s="101">
        <v>1.1200000000000001</v>
      </c>
      <c r="C33" s="100"/>
      <c r="D33" s="100"/>
      <c r="E33" s="100">
        <v>1.1200000000000001</v>
      </c>
      <c r="F33" s="100">
        <v>1.1200000000000001</v>
      </c>
      <c r="G33" s="100"/>
      <c r="H33" s="100">
        <v>1.1200000000000001</v>
      </c>
      <c r="I33" s="101">
        <v>1.1200000000000001</v>
      </c>
      <c r="J33" s="101"/>
      <c r="K33" s="100"/>
      <c r="L33" s="101"/>
      <c r="M33" s="101">
        <v>1.1200000000000001</v>
      </c>
      <c r="N33" s="101">
        <v>1.24</v>
      </c>
      <c r="P33" s="179" t="s">
        <v>720</v>
      </c>
      <c r="Q33" s="183">
        <v>1.19</v>
      </c>
      <c r="R33" s="100"/>
      <c r="S33" s="100"/>
      <c r="T33" s="183">
        <v>1.19</v>
      </c>
      <c r="U33" s="183">
        <v>1.19</v>
      </c>
      <c r="V33" s="100"/>
      <c r="W33" s="183">
        <v>1.19</v>
      </c>
      <c r="X33" s="101">
        <v>1.19</v>
      </c>
      <c r="Y33" s="100"/>
      <c r="Z33" s="100"/>
      <c r="AA33" s="100"/>
      <c r="AB33" s="101">
        <v>1.19</v>
      </c>
      <c r="AC33" s="101">
        <v>1.31</v>
      </c>
      <c r="AE33" s="179" t="s">
        <v>720</v>
      </c>
      <c r="AF33" s="92">
        <v>2.77</v>
      </c>
      <c r="AG33" s="92" t="s">
        <v>731</v>
      </c>
      <c r="AH33" s="92" t="s">
        <v>731</v>
      </c>
      <c r="AI33" s="92">
        <v>3.68</v>
      </c>
      <c r="AJ33" s="92">
        <v>3.68</v>
      </c>
      <c r="AK33" s="92" t="s">
        <v>731</v>
      </c>
      <c r="AL33" s="92">
        <v>5.08</v>
      </c>
      <c r="AM33" s="92">
        <v>5.08</v>
      </c>
      <c r="AN33" s="92" t="s">
        <v>731</v>
      </c>
      <c r="AO33" s="92" t="s">
        <v>731</v>
      </c>
      <c r="AP33" s="92" t="s">
        <v>731</v>
      </c>
      <c r="AQ33" s="92">
        <v>7.14</v>
      </c>
      <c r="AR33" s="92">
        <v>10.16</v>
      </c>
      <c r="AS33" s="95"/>
      <c r="AT33" s="179" t="s">
        <v>720</v>
      </c>
      <c r="AU33" s="93">
        <v>0.18</v>
      </c>
      <c r="AV33" s="93" t="s">
        <v>731</v>
      </c>
      <c r="AW33" s="93" t="s">
        <v>731</v>
      </c>
      <c r="AX33" s="94">
        <v>0.37</v>
      </c>
      <c r="AY33" s="94" t="s">
        <v>731</v>
      </c>
      <c r="AZ33" s="94" t="s">
        <v>731</v>
      </c>
    </row>
    <row r="34" spans="1:52" x14ac:dyDescent="0.3">
      <c r="A34" s="179">
        <v>2</v>
      </c>
      <c r="B34" s="101">
        <v>1.38</v>
      </c>
      <c r="C34" s="100"/>
      <c r="D34" s="100"/>
      <c r="E34" s="100">
        <v>1.38</v>
      </c>
      <c r="F34" s="100">
        <v>1.38</v>
      </c>
      <c r="G34" s="100"/>
      <c r="H34" s="100">
        <v>1.38</v>
      </c>
      <c r="I34" s="101">
        <v>1.38</v>
      </c>
      <c r="J34" s="101"/>
      <c r="K34" s="100"/>
      <c r="L34" s="101"/>
      <c r="M34" s="101">
        <v>1.38</v>
      </c>
      <c r="N34" s="101">
        <v>1.53</v>
      </c>
      <c r="P34" s="179">
        <v>2</v>
      </c>
      <c r="Q34" s="183">
        <v>1.44</v>
      </c>
      <c r="R34" s="100"/>
      <c r="S34" s="100"/>
      <c r="T34" s="183">
        <v>1.44</v>
      </c>
      <c r="U34" s="183">
        <v>1.44</v>
      </c>
      <c r="V34" s="100"/>
      <c r="W34" s="183">
        <v>1.44</v>
      </c>
      <c r="X34" s="101">
        <v>1.44</v>
      </c>
      <c r="Y34" s="100"/>
      <c r="Z34" s="100"/>
      <c r="AA34" s="100"/>
      <c r="AB34" s="101">
        <v>1.44</v>
      </c>
      <c r="AC34" s="101">
        <v>1.59</v>
      </c>
      <c r="AE34" s="179">
        <v>2</v>
      </c>
      <c r="AF34" s="92">
        <v>2.77</v>
      </c>
      <c r="AG34" s="92" t="s">
        <v>731</v>
      </c>
      <c r="AH34" s="92" t="s">
        <v>731</v>
      </c>
      <c r="AI34" s="92">
        <v>3.91</v>
      </c>
      <c r="AJ34" s="92">
        <v>3.91</v>
      </c>
      <c r="AK34" s="92" t="s">
        <v>731</v>
      </c>
      <c r="AL34" s="92">
        <v>5.54</v>
      </c>
      <c r="AM34" s="92">
        <v>5.54</v>
      </c>
      <c r="AN34" s="92" t="s">
        <v>731</v>
      </c>
      <c r="AO34" s="92" t="s">
        <v>731</v>
      </c>
      <c r="AP34" s="92" t="s">
        <v>731</v>
      </c>
      <c r="AQ34" s="92">
        <v>8.7100000000000009</v>
      </c>
      <c r="AR34" s="92">
        <v>11.07</v>
      </c>
      <c r="AS34" s="95"/>
      <c r="AT34" s="179">
        <v>2</v>
      </c>
      <c r="AU34" s="93">
        <v>0.24</v>
      </c>
      <c r="AV34" s="93" t="s">
        <v>731</v>
      </c>
      <c r="AW34" s="93" t="s">
        <v>731</v>
      </c>
      <c r="AX34" s="94">
        <v>0.49</v>
      </c>
      <c r="AY34" s="94" t="s">
        <v>731</v>
      </c>
      <c r="AZ34" s="94" t="s">
        <v>731</v>
      </c>
    </row>
    <row r="35" spans="1:52" x14ac:dyDescent="0.3">
      <c r="A35" s="179" t="s">
        <v>721</v>
      </c>
      <c r="B35" s="101">
        <v>1.54</v>
      </c>
      <c r="C35" s="100"/>
      <c r="D35" s="100"/>
      <c r="E35" s="100">
        <v>1.54</v>
      </c>
      <c r="F35" s="100">
        <v>1.54</v>
      </c>
      <c r="G35" s="100"/>
      <c r="H35" s="100">
        <v>1.54</v>
      </c>
      <c r="I35" s="101">
        <v>1.54</v>
      </c>
      <c r="J35" s="101"/>
      <c r="K35" s="100"/>
      <c r="L35" s="101"/>
      <c r="M35" s="101">
        <v>1.54</v>
      </c>
      <c r="N35" s="101">
        <v>1.98</v>
      </c>
      <c r="P35" s="179" t="s">
        <v>721</v>
      </c>
      <c r="Q35" s="183">
        <v>1.59</v>
      </c>
      <c r="R35" s="100"/>
      <c r="S35" s="100"/>
      <c r="T35" s="183">
        <v>1.59</v>
      </c>
      <c r="U35" s="183">
        <v>1.59</v>
      </c>
      <c r="V35" s="100"/>
      <c r="W35" s="183">
        <v>1.59</v>
      </c>
      <c r="X35" s="101">
        <v>1.59</v>
      </c>
      <c r="Y35" s="100"/>
      <c r="Z35" s="100"/>
      <c r="AA35" s="100"/>
      <c r="AB35" s="101">
        <v>1.59</v>
      </c>
      <c r="AC35" s="101">
        <v>2.02</v>
      </c>
      <c r="AE35" s="179" t="s">
        <v>721</v>
      </c>
      <c r="AF35" s="92">
        <v>3.05</v>
      </c>
      <c r="AG35" s="92" t="s">
        <v>731</v>
      </c>
      <c r="AH35" s="92" t="s">
        <v>731</v>
      </c>
      <c r="AI35" s="92">
        <v>5.16</v>
      </c>
      <c r="AJ35" s="92">
        <v>5.16</v>
      </c>
      <c r="AK35" s="92" t="s">
        <v>731</v>
      </c>
      <c r="AL35" s="92">
        <v>7.01</v>
      </c>
      <c r="AM35" s="92">
        <v>7.01</v>
      </c>
      <c r="AN35" s="92" t="s">
        <v>731</v>
      </c>
      <c r="AO35" s="92" t="s">
        <v>731</v>
      </c>
      <c r="AP35" s="92" t="s">
        <v>731</v>
      </c>
      <c r="AQ35" s="92">
        <v>9.52</v>
      </c>
      <c r="AR35" s="92">
        <v>14.02</v>
      </c>
      <c r="AT35" s="179" t="s">
        <v>721</v>
      </c>
      <c r="AU35" s="93">
        <v>0.28000000000000003</v>
      </c>
      <c r="AV35" s="93" t="s">
        <v>731</v>
      </c>
      <c r="AW35" s="93" t="s">
        <v>731</v>
      </c>
      <c r="AX35" s="94">
        <v>0.56000000000000005</v>
      </c>
      <c r="AY35" s="94" t="s">
        <v>731</v>
      </c>
      <c r="AZ35" s="94" t="s">
        <v>731</v>
      </c>
    </row>
    <row r="36" spans="1:52" x14ac:dyDescent="0.3">
      <c r="A36" s="179">
        <v>3</v>
      </c>
      <c r="B36" s="101">
        <v>1.68</v>
      </c>
      <c r="C36" s="100"/>
      <c r="D36" s="100"/>
      <c r="E36" s="100">
        <v>1.68</v>
      </c>
      <c r="F36" s="100">
        <v>1.68</v>
      </c>
      <c r="G36" s="100"/>
      <c r="H36" s="100">
        <v>1.68</v>
      </c>
      <c r="I36" s="101">
        <v>1.68</v>
      </c>
      <c r="J36" s="101"/>
      <c r="K36" s="100"/>
      <c r="L36" s="101"/>
      <c r="M36" s="101">
        <v>1.86</v>
      </c>
      <c r="N36" s="101">
        <v>2.17</v>
      </c>
      <c r="P36" s="179">
        <v>3</v>
      </c>
      <c r="Q36" s="183">
        <v>1.72</v>
      </c>
      <c r="R36" s="100"/>
      <c r="S36" s="100"/>
      <c r="T36" s="183">
        <v>1.72</v>
      </c>
      <c r="U36" s="183">
        <v>1.72</v>
      </c>
      <c r="V36" s="100"/>
      <c r="W36" s="183">
        <v>1.72</v>
      </c>
      <c r="X36" s="101">
        <v>1.72</v>
      </c>
      <c r="Y36" s="100"/>
      <c r="Z36" s="100"/>
      <c r="AA36" s="100"/>
      <c r="AB36" s="101">
        <v>1.9</v>
      </c>
      <c r="AC36" s="101">
        <v>2.1800000000000002</v>
      </c>
      <c r="AE36" s="179">
        <v>3</v>
      </c>
      <c r="AF36" s="92">
        <v>3.05</v>
      </c>
      <c r="AG36" s="92" t="s">
        <v>731</v>
      </c>
      <c r="AH36" s="92" t="s">
        <v>731</v>
      </c>
      <c r="AI36" s="92">
        <v>5.49</v>
      </c>
      <c r="AJ36" s="92">
        <v>5.49</v>
      </c>
      <c r="AK36" s="92" t="s">
        <v>731</v>
      </c>
      <c r="AL36" s="92">
        <v>7.62</v>
      </c>
      <c r="AM36" s="92">
        <v>7.62</v>
      </c>
      <c r="AN36" s="92" t="s">
        <v>731</v>
      </c>
      <c r="AO36" s="92" t="s">
        <v>731</v>
      </c>
      <c r="AP36" s="92" t="s">
        <v>731</v>
      </c>
      <c r="AQ36" s="92">
        <v>11.13</v>
      </c>
      <c r="AR36" s="92">
        <v>15.24</v>
      </c>
      <c r="AT36" s="179">
        <v>3</v>
      </c>
      <c r="AU36" s="93">
        <v>0.31</v>
      </c>
      <c r="AV36" s="93">
        <v>0.37</v>
      </c>
      <c r="AW36" s="93" t="s">
        <v>731</v>
      </c>
      <c r="AX36" s="94">
        <v>0.61</v>
      </c>
      <c r="AY36" s="94">
        <v>0.73</v>
      </c>
      <c r="AZ36" s="94" t="s">
        <v>731</v>
      </c>
    </row>
    <row r="37" spans="1:52" x14ac:dyDescent="0.3">
      <c r="A37" s="179">
        <v>4</v>
      </c>
      <c r="B37" s="101">
        <v>2</v>
      </c>
      <c r="C37" s="100"/>
      <c r="D37" s="100"/>
      <c r="E37" s="100">
        <v>2</v>
      </c>
      <c r="F37" s="100">
        <v>2</v>
      </c>
      <c r="G37" s="100"/>
      <c r="H37" s="100">
        <v>2</v>
      </c>
      <c r="I37" s="101">
        <v>2</v>
      </c>
      <c r="J37" s="101"/>
      <c r="K37" s="100">
        <v>2.2000000000000002</v>
      </c>
      <c r="L37" s="101"/>
      <c r="M37" s="101">
        <v>2.58</v>
      </c>
      <c r="N37" s="101">
        <v>2.87</v>
      </c>
      <c r="P37" s="179">
        <v>4</v>
      </c>
      <c r="Q37" s="183">
        <v>2.08</v>
      </c>
      <c r="R37" s="100"/>
      <c r="S37" s="100"/>
      <c r="T37" s="183">
        <v>2.08</v>
      </c>
      <c r="U37" s="183">
        <v>2.08</v>
      </c>
      <c r="V37" s="100"/>
      <c r="W37" s="183">
        <v>2.08</v>
      </c>
      <c r="X37" s="101">
        <v>2.08</v>
      </c>
      <c r="Y37" s="100"/>
      <c r="Z37" s="101">
        <v>2.2999999999999998</v>
      </c>
      <c r="AA37" s="100"/>
      <c r="AB37" s="101">
        <v>2.65</v>
      </c>
      <c r="AC37" s="101">
        <v>3</v>
      </c>
      <c r="AE37" s="179">
        <v>4</v>
      </c>
      <c r="AF37" s="92">
        <v>3.05</v>
      </c>
      <c r="AG37" s="92" t="s">
        <v>731</v>
      </c>
      <c r="AH37" s="92" t="s">
        <v>731</v>
      </c>
      <c r="AI37" s="92">
        <v>6.02</v>
      </c>
      <c r="AJ37" s="92">
        <v>6.02</v>
      </c>
      <c r="AK37" s="92" t="s">
        <v>731</v>
      </c>
      <c r="AL37" s="92">
        <v>8.56</v>
      </c>
      <c r="AM37" s="92">
        <v>8.56</v>
      </c>
      <c r="AN37" s="92" t="s">
        <v>731</v>
      </c>
      <c r="AO37" s="92">
        <v>11.13</v>
      </c>
      <c r="AP37" s="92" t="s">
        <v>731</v>
      </c>
      <c r="AQ37" s="92">
        <v>13.49</v>
      </c>
      <c r="AR37" s="92">
        <v>17.12</v>
      </c>
      <c r="AT37" s="179">
        <v>4</v>
      </c>
      <c r="AU37" s="93">
        <v>0.37</v>
      </c>
      <c r="AV37" s="93">
        <v>0.44</v>
      </c>
      <c r="AW37" s="93" t="s">
        <v>731</v>
      </c>
      <c r="AX37" s="94">
        <v>0.73</v>
      </c>
      <c r="AY37" s="94">
        <v>0.88</v>
      </c>
      <c r="AZ37" s="94" t="s">
        <v>731</v>
      </c>
    </row>
    <row r="38" spans="1:52" x14ac:dyDescent="0.3">
      <c r="A38" s="179">
        <v>6</v>
      </c>
      <c r="B38" s="101">
        <v>2.54</v>
      </c>
      <c r="C38" s="100"/>
      <c r="D38" s="100"/>
      <c r="E38" s="100">
        <v>2.54</v>
      </c>
      <c r="F38" s="100">
        <v>2.54</v>
      </c>
      <c r="G38" s="100"/>
      <c r="H38" s="100">
        <v>2.8</v>
      </c>
      <c r="I38" s="101">
        <v>2.8</v>
      </c>
      <c r="J38" s="100"/>
      <c r="K38" s="100">
        <v>3.28</v>
      </c>
      <c r="L38" s="100"/>
      <c r="M38" s="101">
        <v>3.65</v>
      </c>
      <c r="N38" s="101">
        <v>4.0999999999999996</v>
      </c>
      <c r="P38" s="179">
        <v>6</v>
      </c>
      <c r="Q38" s="183">
        <v>2.66</v>
      </c>
      <c r="R38" s="100"/>
      <c r="S38" s="100"/>
      <c r="T38" s="183">
        <v>2.66</v>
      </c>
      <c r="U38" s="183">
        <v>2.66</v>
      </c>
      <c r="V38" s="100"/>
      <c r="W38" s="183">
        <v>2.94</v>
      </c>
      <c r="X38" s="101">
        <v>2.94</v>
      </c>
      <c r="Y38" s="101"/>
      <c r="Z38" s="101">
        <v>3.4</v>
      </c>
      <c r="AA38" s="100"/>
      <c r="AB38" s="101">
        <v>3.86</v>
      </c>
      <c r="AC38" s="101">
        <v>4.34</v>
      </c>
      <c r="AE38" s="179">
        <v>6</v>
      </c>
      <c r="AF38" s="92" t="s">
        <v>731</v>
      </c>
      <c r="AG38" s="92" t="s">
        <v>731</v>
      </c>
      <c r="AH38" s="92" t="s">
        <v>731</v>
      </c>
      <c r="AI38" s="92">
        <v>7.11</v>
      </c>
      <c r="AJ38" s="92">
        <v>7.11</v>
      </c>
      <c r="AK38" s="92" t="s">
        <v>731</v>
      </c>
      <c r="AL38" s="92">
        <v>10.97</v>
      </c>
      <c r="AM38" s="92">
        <v>10.97</v>
      </c>
      <c r="AN38" s="92" t="s">
        <v>731</v>
      </c>
      <c r="AO38" s="92">
        <v>14.27</v>
      </c>
      <c r="AP38" s="92" t="s">
        <v>731</v>
      </c>
      <c r="AQ38" s="92">
        <v>18.239999999999998</v>
      </c>
      <c r="AR38" s="92">
        <v>21.95</v>
      </c>
      <c r="AT38" s="179">
        <v>6</v>
      </c>
      <c r="AU38" s="93">
        <v>0.47</v>
      </c>
      <c r="AV38" s="93">
        <v>0.56000000000000005</v>
      </c>
      <c r="AW38" s="93" t="s">
        <v>731</v>
      </c>
      <c r="AX38" s="94">
        <v>0.94</v>
      </c>
      <c r="AY38" s="94">
        <v>1.1299999999999999</v>
      </c>
      <c r="AZ38" s="94" t="s">
        <v>731</v>
      </c>
    </row>
    <row r="39" spans="1:52" x14ac:dyDescent="0.3">
      <c r="A39" s="179">
        <v>8</v>
      </c>
      <c r="B39" s="101">
        <v>3.1</v>
      </c>
      <c r="C39" s="101">
        <v>3.1</v>
      </c>
      <c r="D39" s="101">
        <v>3.1</v>
      </c>
      <c r="E39" s="100">
        <v>3.1</v>
      </c>
      <c r="F39" s="100">
        <v>3.1</v>
      </c>
      <c r="G39" s="100">
        <v>3.41</v>
      </c>
      <c r="H39" s="100">
        <v>3.41</v>
      </c>
      <c r="I39" s="101">
        <v>3.41</v>
      </c>
      <c r="J39" s="101">
        <v>4</v>
      </c>
      <c r="K39" s="100">
        <v>4.45</v>
      </c>
      <c r="L39" s="101">
        <v>4.99</v>
      </c>
      <c r="M39" s="101">
        <v>4.99</v>
      </c>
      <c r="N39" s="101">
        <v>4.99</v>
      </c>
      <c r="P39" s="179">
        <v>8</v>
      </c>
      <c r="Q39" s="183">
        <v>3.23</v>
      </c>
      <c r="R39" s="101">
        <v>3.23</v>
      </c>
      <c r="S39" s="101">
        <v>3.23</v>
      </c>
      <c r="T39" s="183">
        <v>3.23</v>
      </c>
      <c r="U39" s="183">
        <v>3.23</v>
      </c>
      <c r="V39" s="101">
        <v>3.57</v>
      </c>
      <c r="W39" s="183">
        <v>3.57</v>
      </c>
      <c r="X39" s="101">
        <v>3.57</v>
      </c>
      <c r="Y39" s="100">
        <v>4.13</v>
      </c>
      <c r="Z39" s="101">
        <v>4.6900000000000004</v>
      </c>
      <c r="AA39" s="101">
        <v>5.29</v>
      </c>
      <c r="AB39" s="101">
        <v>5.29</v>
      </c>
      <c r="AC39" s="101">
        <v>5.29</v>
      </c>
      <c r="AE39" s="179">
        <v>8</v>
      </c>
      <c r="AF39" s="92" t="s">
        <v>731</v>
      </c>
      <c r="AG39" s="92">
        <v>6.35</v>
      </c>
      <c r="AH39" s="92">
        <v>7.04</v>
      </c>
      <c r="AI39" s="92">
        <v>8.18</v>
      </c>
      <c r="AJ39" s="92">
        <v>8.18</v>
      </c>
      <c r="AK39" s="92">
        <v>10.31</v>
      </c>
      <c r="AL39" s="92">
        <v>12.7</v>
      </c>
      <c r="AM39" s="92">
        <v>12.7</v>
      </c>
      <c r="AN39" s="92">
        <v>15.06</v>
      </c>
      <c r="AO39" s="92">
        <v>18.260000000000002</v>
      </c>
      <c r="AP39" s="92">
        <v>20.62</v>
      </c>
      <c r="AQ39" s="92">
        <v>23.01</v>
      </c>
      <c r="AR39" s="92">
        <v>22.22</v>
      </c>
      <c r="AT39" s="179">
        <v>8</v>
      </c>
      <c r="AU39" s="93">
        <v>0.55000000000000004</v>
      </c>
      <c r="AV39" s="93">
        <v>0.66</v>
      </c>
      <c r="AW39" s="93" t="s">
        <v>731</v>
      </c>
      <c r="AX39" s="94">
        <v>1.1000000000000001</v>
      </c>
      <c r="AY39" s="94">
        <v>1.32</v>
      </c>
      <c r="AZ39" s="94" t="s">
        <v>731</v>
      </c>
    </row>
    <row r="40" spans="1:52" x14ac:dyDescent="0.3">
      <c r="A40" s="179">
        <v>10</v>
      </c>
      <c r="B40" s="101">
        <v>3.65</v>
      </c>
      <c r="C40" s="101">
        <v>3.65</v>
      </c>
      <c r="D40" s="101">
        <v>3.65</v>
      </c>
      <c r="E40" s="100">
        <v>3.65</v>
      </c>
      <c r="F40" s="100">
        <v>3.65</v>
      </c>
      <c r="G40" s="100">
        <v>4.01</v>
      </c>
      <c r="H40" s="100">
        <v>4.01</v>
      </c>
      <c r="I40" s="101">
        <v>4.7</v>
      </c>
      <c r="J40" s="101">
        <v>5.23</v>
      </c>
      <c r="K40" s="100">
        <v>5.86</v>
      </c>
      <c r="L40" s="101">
        <v>6.62</v>
      </c>
      <c r="M40" s="101">
        <v>7.91</v>
      </c>
      <c r="N40" s="101">
        <v>6.62</v>
      </c>
      <c r="P40" s="179">
        <v>10</v>
      </c>
      <c r="Q40" s="183">
        <v>3.81</v>
      </c>
      <c r="R40" s="101">
        <v>3.81</v>
      </c>
      <c r="S40" s="101">
        <v>3.81</v>
      </c>
      <c r="T40" s="183">
        <v>3.81</v>
      </c>
      <c r="U40" s="183">
        <v>3.81</v>
      </c>
      <c r="V40" s="101">
        <v>4.21</v>
      </c>
      <c r="W40" s="183">
        <v>4.21</v>
      </c>
      <c r="X40" s="101">
        <v>4.87</v>
      </c>
      <c r="Y40" s="100">
        <v>5.54</v>
      </c>
      <c r="Z40" s="101">
        <v>6.25</v>
      </c>
      <c r="AA40" s="101">
        <v>7.1</v>
      </c>
      <c r="AB40" s="101">
        <v>8.49</v>
      </c>
      <c r="AC40" s="101">
        <v>7.1</v>
      </c>
      <c r="AE40" s="179">
        <v>10</v>
      </c>
      <c r="AF40" s="92" t="s">
        <v>731</v>
      </c>
      <c r="AG40" s="92">
        <v>6.35</v>
      </c>
      <c r="AH40" s="92">
        <v>7.8</v>
      </c>
      <c r="AI40" s="92">
        <v>9.27</v>
      </c>
      <c r="AJ40" s="92">
        <v>9.27</v>
      </c>
      <c r="AK40" s="92">
        <v>12.7</v>
      </c>
      <c r="AL40" s="92">
        <v>12.7</v>
      </c>
      <c r="AM40" s="92">
        <v>15.06</v>
      </c>
      <c r="AN40" s="92">
        <v>18.260000000000002</v>
      </c>
      <c r="AO40" s="92">
        <v>21.44</v>
      </c>
      <c r="AP40" s="92">
        <v>25.4</v>
      </c>
      <c r="AQ40" s="92">
        <v>28.58</v>
      </c>
      <c r="AR40" s="92">
        <v>25.4</v>
      </c>
      <c r="AT40" s="179">
        <v>10</v>
      </c>
      <c r="AU40" s="93">
        <v>0.65</v>
      </c>
      <c r="AV40" s="93">
        <v>0.78</v>
      </c>
      <c r="AW40" s="93">
        <v>0.97</v>
      </c>
      <c r="AX40" s="94">
        <v>1.29</v>
      </c>
      <c r="AY40" s="94">
        <v>1.55</v>
      </c>
      <c r="AZ40" s="94">
        <v>1.94</v>
      </c>
    </row>
    <row r="41" spans="1:52" x14ac:dyDescent="0.3">
      <c r="A41" s="179">
        <v>12</v>
      </c>
      <c r="B41" s="101">
        <v>4.21</v>
      </c>
      <c r="C41" s="101">
        <v>4.21</v>
      </c>
      <c r="D41" s="101">
        <v>4.21</v>
      </c>
      <c r="E41" s="100">
        <v>4.21</v>
      </c>
      <c r="F41" s="100">
        <v>4.62</v>
      </c>
      <c r="G41" s="100">
        <v>5.42</v>
      </c>
      <c r="H41" s="100">
        <v>4.62</v>
      </c>
      <c r="I41" s="101">
        <v>6.02</v>
      </c>
      <c r="J41" s="101">
        <v>6.75</v>
      </c>
      <c r="K41" s="100">
        <v>7.62</v>
      </c>
      <c r="L41" s="101">
        <v>9.11</v>
      </c>
      <c r="M41" s="101">
        <v>11.18</v>
      </c>
      <c r="N41" s="101">
        <v>7.62</v>
      </c>
      <c r="P41" s="179">
        <v>12</v>
      </c>
      <c r="Q41" s="183">
        <v>4.38</v>
      </c>
      <c r="R41" s="101">
        <v>4.38</v>
      </c>
      <c r="S41" s="101">
        <v>4.38</v>
      </c>
      <c r="T41" s="183">
        <v>4.38</v>
      </c>
      <c r="U41" s="183">
        <v>4.8499999999999996</v>
      </c>
      <c r="V41" s="101">
        <v>5.61</v>
      </c>
      <c r="W41" s="183">
        <v>4.8499999999999996</v>
      </c>
      <c r="X41" s="101">
        <v>6.39</v>
      </c>
      <c r="Y41" s="100">
        <v>7.2</v>
      </c>
      <c r="Z41" s="101">
        <v>8.19</v>
      </c>
      <c r="AA41" s="101">
        <v>9.8000000000000007</v>
      </c>
      <c r="AB41" s="101">
        <v>12.14</v>
      </c>
      <c r="AC41" s="101">
        <v>8.19</v>
      </c>
      <c r="AE41" s="179">
        <v>12</v>
      </c>
      <c r="AF41" s="92" t="s">
        <v>731</v>
      </c>
      <c r="AG41" s="92">
        <v>6.35</v>
      </c>
      <c r="AH41" s="92">
        <v>8.3800000000000008</v>
      </c>
      <c r="AI41" s="92">
        <v>9.52</v>
      </c>
      <c r="AJ41" s="92">
        <v>10.31</v>
      </c>
      <c r="AK41" s="92">
        <v>14.27</v>
      </c>
      <c r="AL41" s="92">
        <v>12.7</v>
      </c>
      <c r="AM41" s="92">
        <v>17.48</v>
      </c>
      <c r="AN41" s="92">
        <v>21.44</v>
      </c>
      <c r="AO41" s="92">
        <v>25.4</v>
      </c>
      <c r="AP41" s="92">
        <v>28.58</v>
      </c>
      <c r="AQ41" s="92">
        <v>33.32</v>
      </c>
      <c r="AR41" s="92">
        <v>25.4</v>
      </c>
      <c r="AT41" s="179">
        <v>12</v>
      </c>
      <c r="AU41" s="93">
        <v>0.73</v>
      </c>
      <c r="AV41" s="93">
        <v>0.88</v>
      </c>
      <c r="AW41" s="93">
        <v>1.1000000000000001</v>
      </c>
      <c r="AX41" s="94">
        <v>1.47</v>
      </c>
      <c r="AY41" s="94">
        <v>1.77</v>
      </c>
      <c r="AZ41" s="94">
        <v>2.2000000000000002</v>
      </c>
    </row>
    <row r="42" spans="1:52" x14ac:dyDescent="0.3">
      <c r="A42" s="179">
        <v>14</v>
      </c>
      <c r="B42" s="101">
        <v>4.75</v>
      </c>
      <c r="C42" s="101">
        <v>4.75</v>
      </c>
      <c r="D42" s="101">
        <v>4.75</v>
      </c>
      <c r="E42" s="100">
        <v>4.75</v>
      </c>
      <c r="F42" s="100">
        <v>5.22</v>
      </c>
      <c r="G42" s="100">
        <v>6.13</v>
      </c>
      <c r="H42" s="100">
        <v>5.22</v>
      </c>
      <c r="I42" s="101">
        <v>6.8</v>
      </c>
      <c r="J42" s="101">
        <v>8.6</v>
      </c>
      <c r="K42" s="100">
        <v>10.29</v>
      </c>
      <c r="L42" s="101">
        <v>11.69</v>
      </c>
      <c r="M42" s="101">
        <v>13.56</v>
      </c>
      <c r="N42" s="100"/>
      <c r="P42" s="179">
        <v>14</v>
      </c>
      <c r="Q42" s="183">
        <v>4.99</v>
      </c>
      <c r="R42" s="101">
        <v>4.99</v>
      </c>
      <c r="S42" s="101">
        <v>4.99</v>
      </c>
      <c r="T42" s="183">
        <v>4.99</v>
      </c>
      <c r="U42" s="183">
        <v>5.52</v>
      </c>
      <c r="V42" s="101">
        <v>6.39</v>
      </c>
      <c r="W42" s="183">
        <v>5.52</v>
      </c>
      <c r="X42" s="101">
        <v>7.27</v>
      </c>
      <c r="Y42" s="100">
        <v>9.31</v>
      </c>
      <c r="Z42" s="101">
        <v>11.15</v>
      </c>
      <c r="AA42" s="101">
        <v>12.74</v>
      </c>
      <c r="AB42" s="101">
        <v>14.87</v>
      </c>
      <c r="AC42" s="100"/>
      <c r="AE42" s="179">
        <v>14</v>
      </c>
      <c r="AF42" s="92">
        <v>6.35</v>
      </c>
      <c r="AG42" s="92">
        <v>7.92</v>
      </c>
      <c r="AH42" s="92">
        <v>9.52</v>
      </c>
      <c r="AI42" s="92">
        <v>9.52</v>
      </c>
      <c r="AJ42" s="92">
        <v>11.13</v>
      </c>
      <c r="AK42" s="92">
        <v>15.06</v>
      </c>
      <c r="AL42" s="92">
        <v>12.7</v>
      </c>
      <c r="AM42" s="92">
        <v>19.05</v>
      </c>
      <c r="AN42" s="92">
        <v>23.83</v>
      </c>
      <c r="AO42" s="92">
        <v>27.79</v>
      </c>
      <c r="AP42" s="92">
        <v>31.75</v>
      </c>
      <c r="AQ42" s="92">
        <v>35.71</v>
      </c>
      <c r="AR42" s="78" t="s">
        <v>731</v>
      </c>
      <c r="AT42" s="179">
        <v>14</v>
      </c>
      <c r="AU42" s="93">
        <v>0.86</v>
      </c>
      <c r="AV42" s="93">
        <v>1.03</v>
      </c>
      <c r="AW42" s="93">
        <v>1.29</v>
      </c>
      <c r="AX42" s="94">
        <v>1.71</v>
      </c>
      <c r="AY42" s="94">
        <v>2.0499999999999998</v>
      </c>
      <c r="AZ42" s="94">
        <v>2.57</v>
      </c>
    </row>
    <row r="43" spans="1:52" x14ac:dyDescent="0.3">
      <c r="A43" s="179">
        <v>16</v>
      </c>
      <c r="B43" s="101">
        <v>5.31</v>
      </c>
      <c r="C43" s="101">
        <v>5.31</v>
      </c>
      <c r="D43" s="101">
        <v>5.31</v>
      </c>
      <c r="E43" s="100">
        <v>5.31</v>
      </c>
      <c r="F43" s="100">
        <v>5.83</v>
      </c>
      <c r="G43" s="100">
        <v>7.6</v>
      </c>
      <c r="H43" s="100">
        <v>5.83</v>
      </c>
      <c r="I43" s="101">
        <v>8.51</v>
      </c>
      <c r="J43" s="101">
        <v>11.49</v>
      </c>
      <c r="K43" s="100">
        <v>13.05</v>
      </c>
      <c r="L43" s="101">
        <v>15.13</v>
      </c>
      <c r="M43" s="101">
        <v>16.170000000000002</v>
      </c>
      <c r="N43" s="100"/>
      <c r="P43" s="179">
        <v>16</v>
      </c>
      <c r="Q43" s="183">
        <v>5.61</v>
      </c>
      <c r="R43" s="101">
        <v>5.61</v>
      </c>
      <c r="S43" s="101">
        <v>5.61</v>
      </c>
      <c r="T43" s="183">
        <v>5.61</v>
      </c>
      <c r="U43" s="183">
        <v>6.2</v>
      </c>
      <c r="V43" s="101">
        <v>8.16</v>
      </c>
      <c r="W43" s="183">
        <v>6.2</v>
      </c>
      <c r="X43" s="101">
        <v>9.1999999999999993</v>
      </c>
      <c r="Y43" s="100">
        <v>12.52</v>
      </c>
      <c r="Z43" s="101">
        <v>14.3</v>
      </c>
      <c r="AA43" s="101">
        <v>16.68</v>
      </c>
      <c r="AB43" s="101">
        <v>17.87</v>
      </c>
      <c r="AC43" s="100"/>
      <c r="AE43" s="179">
        <v>16</v>
      </c>
      <c r="AF43" s="92">
        <v>6.35</v>
      </c>
      <c r="AG43" s="92">
        <v>7.92</v>
      </c>
      <c r="AH43" s="92">
        <v>9.52</v>
      </c>
      <c r="AI43" s="92">
        <v>9.52</v>
      </c>
      <c r="AJ43" s="92">
        <v>12.7</v>
      </c>
      <c r="AK43" s="92">
        <v>16.66</v>
      </c>
      <c r="AL43" s="92">
        <v>12.7</v>
      </c>
      <c r="AM43" s="92">
        <v>21.44</v>
      </c>
      <c r="AN43" s="92">
        <v>26.19</v>
      </c>
      <c r="AO43" s="92">
        <v>30.96</v>
      </c>
      <c r="AP43" s="92">
        <v>36.520000000000003</v>
      </c>
      <c r="AQ43" s="92">
        <v>40.46</v>
      </c>
      <c r="AR43" s="78" t="s">
        <v>731</v>
      </c>
      <c r="AT43" s="179">
        <v>16</v>
      </c>
      <c r="AU43" s="93">
        <v>0.98</v>
      </c>
      <c r="AV43" s="93">
        <v>1.18</v>
      </c>
      <c r="AW43" s="93">
        <v>1.47</v>
      </c>
      <c r="AX43" s="94">
        <v>1.96</v>
      </c>
      <c r="AY43" s="94">
        <v>2.35</v>
      </c>
      <c r="AZ43" s="94">
        <v>2.94</v>
      </c>
    </row>
    <row r="44" spans="1:52" x14ac:dyDescent="0.3">
      <c r="A44" s="179">
        <v>18</v>
      </c>
      <c r="B44" s="101">
        <v>5.86</v>
      </c>
      <c r="C44" s="101">
        <v>5.86</v>
      </c>
      <c r="D44" s="101">
        <v>6.43</v>
      </c>
      <c r="E44" s="100">
        <v>5.86</v>
      </c>
      <c r="F44" s="100">
        <v>7.55</v>
      </c>
      <c r="G44" s="100">
        <v>8.3800000000000008</v>
      </c>
      <c r="H44" s="100">
        <v>6.43</v>
      </c>
      <c r="I44" s="101">
        <v>10.58</v>
      </c>
      <c r="J44" s="101">
        <v>14.38</v>
      </c>
      <c r="K44" s="100">
        <v>15.53</v>
      </c>
      <c r="L44" s="101">
        <v>17.82</v>
      </c>
      <c r="M44" s="101">
        <v>20.399999999999999</v>
      </c>
      <c r="N44" s="100"/>
      <c r="P44" s="179">
        <v>18</v>
      </c>
      <c r="Q44" s="183">
        <v>6.21</v>
      </c>
      <c r="R44" s="101">
        <v>6.21</v>
      </c>
      <c r="S44" s="101">
        <v>6.86</v>
      </c>
      <c r="T44" s="183">
        <v>6.21</v>
      </c>
      <c r="U44" s="183">
        <v>7.95</v>
      </c>
      <c r="V44" s="101">
        <v>9.0399999999999991</v>
      </c>
      <c r="W44" s="183">
        <v>6.86</v>
      </c>
      <c r="X44" s="101">
        <v>11.57</v>
      </c>
      <c r="Y44" s="100">
        <v>15.83</v>
      </c>
      <c r="Z44" s="101">
        <v>17.149999999999999</v>
      </c>
      <c r="AA44" s="101">
        <v>19.78</v>
      </c>
      <c r="AB44" s="101">
        <v>22.74</v>
      </c>
      <c r="AC44" s="100"/>
      <c r="AE44" s="179">
        <v>18</v>
      </c>
      <c r="AF44" s="92">
        <v>6.35</v>
      </c>
      <c r="AG44" s="92">
        <v>7.92</v>
      </c>
      <c r="AH44" s="92">
        <v>11.12</v>
      </c>
      <c r="AI44" s="92">
        <v>9.52</v>
      </c>
      <c r="AJ44" s="92">
        <v>14.27</v>
      </c>
      <c r="AK44" s="92">
        <v>19.05</v>
      </c>
      <c r="AL44" s="92">
        <v>12.7</v>
      </c>
      <c r="AM44" s="92">
        <v>23.82</v>
      </c>
      <c r="AN44" s="92">
        <v>29.36</v>
      </c>
      <c r="AO44" s="92">
        <v>34.92</v>
      </c>
      <c r="AP44" s="92">
        <v>39.67</v>
      </c>
      <c r="AQ44" s="92">
        <v>45.24</v>
      </c>
      <c r="AR44" s="78" t="s">
        <v>731</v>
      </c>
      <c r="AT44" s="179">
        <v>18</v>
      </c>
      <c r="AU44" s="93">
        <v>1.1000000000000001</v>
      </c>
      <c r="AV44" s="93">
        <v>1.32</v>
      </c>
      <c r="AW44" s="93">
        <v>1.65</v>
      </c>
      <c r="AX44" s="94">
        <v>2.2000000000000002</v>
      </c>
      <c r="AY44" s="94">
        <v>2.64</v>
      </c>
      <c r="AZ44" s="94">
        <v>3.3</v>
      </c>
    </row>
    <row r="45" spans="1:52" x14ac:dyDescent="0.3">
      <c r="A45" s="179">
        <v>20</v>
      </c>
      <c r="B45" s="101">
        <v>6.42</v>
      </c>
      <c r="C45" s="101">
        <v>6.42</v>
      </c>
      <c r="D45" s="101">
        <v>7.04</v>
      </c>
      <c r="E45" s="100">
        <v>6.42</v>
      </c>
      <c r="F45" s="100">
        <v>8.27</v>
      </c>
      <c r="G45" s="100">
        <v>10.27</v>
      </c>
      <c r="H45" s="100">
        <v>7.04</v>
      </c>
      <c r="I45" s="101">
        <v>13.86</v>
      </c>
      <c r="J45" s="101">
        <v>16.989999999999998</v>
      </c>
      <c r="K45" s="100">
        <v>18.239999999999998</v>
      </c>
      <c r="L45" s="101">
        <v>20.75</v>
      </c>
      <c r="M45" s="101">
        <v>23.87</v>
      </c>
      <c r="N45" s="100"/>
      <c r="P45" s="179">
        <v>20</v>
      </c>
      <c r="Q45" s="183">
        <v>6.82</v>
      </c>
      <c r="R45" s="101">
        <v>6.82</v>
      </c>
      <c r="S45" s="101">
        <v>7.54</v>
      </c>
      <c r="T45" s="183">
        <v>6.82</v>
      </c>
      <c r="U45" s="183">
        <v>8.74</v>
      </c>
      <c r="V45" s="101">
        <v>11.19</v>
      </c>
      <c r="W45" s="183">
        <v>7.54</v>
      </c>
      <c r="X45" s="101">
        <v>15.22</v>
      </c>
      <c r="Y45" s="100">
        <v>18.82</v>
      </c>
      <c r="Z45" s="101">
        <v>20.27</v>
      </c>
      <c r="AA45" s="101">
        <v>23.15</v>
      </c>
      <c r="AB45" s="101">
        <v>26.76</v>
      </c>
      <c r="AC45" s="100"/>
      <c r="AE45" s="179">
        <v>20</v>
      </c>
      <c r="AF45" s="92">
        <v>6.35</v>
      </c>
      <c r="AG45" s="92">
        <v>9.52</v>
      </c>
      <c r="AH45" s="92">
        <v>12.7</v>
      </c>
      <c r="AI45" s="92">
        <v>9.52</v>
      </c>
      <c r="AJ45" s="92">
        <v>15.06</v>
      </c>
      <c r="AK45" s="92">
        <v>20.62</v>
      </c>
      <c r="AL45" s="92">
        <v>12.7</v>
      </c>
      <c r="AM45" s="92">
        <v>26.19</v>
      </c>
      <c r="AN45" s="92">
        <v>32.54</v>
      </c>
      <c r="AO45" s="92">
        <v>38.1</v>
      </c>
      <c r="AP45" s="92">
        <v>44.45</v>
      </c>
      <c r="AQ45" s="92">
        <v>49.99</v>
      </c>
      <c r="AR45" s="78" t="s">
        <v>731</v>
      </c>
      <c r="AT45" s="179">
        <v>20</v>
      </c>
      <c r="AU45" s="93">
        <v>1.22</v>
      </c>
      <c r="AV45" s="93">
        <v>1.47</v>
      </c>
      <c r="AW45" s="93">
        <v>1.84</v>
      </c>
      <c r="AX45" s="94">
        <v>2.4500000000000002</v>
      </c>
      <c r="AY45" s="94">
        <v>2.94</v>
      </c>
      <c r="AZ45" s="94">
        <v>3.67</v>
      </c>
    </row>
    <row r="46" spans="1:52" x14ac:dyDescent="0.3">
      <c r="A46" s="179">
        <v>24</v>
      </c>
      <c r="B46" s="101">
        <v>7.64</v>
      </c>
      <c r="C46" s="101">
        <v>7.64</v>
      </c>
      <c r="D46" s="101">
        <v>9.86</v>
      </c>
      <c r="E46" s="100">
        <v>7.64</v>
      </c>
      <c r="F46" s="100">
        <v>10.94</v>
      </c>
      <c r="G46" s="100">
        <v>13.83</v>
      </c>
      <c r="H46" s="100">
        <v>8.39</v>
      </c>
      <c r="I46" s="101">
        <v>18.8</v>
      </c>
      <c r="J46" s="101">
        <v>23.29</v>
      </c>
      <c r="K46" s="100">
        <v>26.66</v>
      </c>
      <c r="L46" s="101">
        <v>30.03</v>
      </c>
      <c r="M46" s="101">
        <v>31.53</v>
      </c>
      <c r="N46" s="100"/>
      <c r="P46" s="179">
        <v>24</v>
      </c>
      <c r="Q46" s="183">
        <v>7.97</v>
      </c>
      <c r="R46" s="101">
        <v>7.97</v>
      </c>
      <c r="S46" s="101">
        <v>10.220000000000001</v>
      </c>
      <c r="T46" s="183">
        <v>7.97</v>
      </c>
      <c r="U46" s="183">
        <v>11.62</v>
      </c>
      <c r="V46" s="101">
        <v>14.88</v>
      </c>
      <c r="W46" s="183">
        <v>8.82</v>
      </c>
      <c r="X46" s="101">
        <v>20.38</v>
      </c>
      <c r="Y46" s="100">
        <v>25.46</v>
      </c>
      <c r="Z46" s="101">
        <v>29.28</v>
      </c>
      <c r="AA46" s="101">
        <v>33.1</v>
      </c>
      <c r="AB46" s="101">
        <v>34.79</v>
      </c>
      <c r="AC46" s="100"/>
      <c r="AE46" s="179">
        <v>24</v>
      </c>
      <c r="AF46" s="92">
        <v>6.35</v>
      </c>
      <c r="AG46" s="92">
        <v>9.52</v>
      </c>
      <c r="AH46" s="92">
        <v>14.27</v>
      </c>
      <c r="AI46" s="92">
        <v>9.52</v>
      </c>
      <c r="AJ46" s="92">
        <v>17.48</v>
      </c>
      <c r="AK46" s="92">
        <v>24.61</v>
      </c>
      <c r="AL46" s="92">
        <v>12.7</v>
      </c>
      <c r="AM46" s="92">
        <v>30.93</v>
      </c>
      <c r="AN46" s="92">
        <v>38.89</v>
      </c>
      <c r="AO46" s="92">
        <v>46.02</v>
      </c>
      <c r="AP46" s="92">
        <v>52.37</v>
      </c>
      <c r="AQ46" s="92">
        <v>59.51</v>
      </c>
      <c r="AR46" s="78" t="s">
        <v>731</v>
      </c>
      <c r="AT46" s="179">
        <v>24</v>
      </c>
      <c r="AU46" s="93">
        <v>1.44</v>
      </c>
      <c r="AV46" s="93">
        <v>1.73</v>
      </c>
      <c r="AW46" s="93">
        <v>2.16</v>
      </c>
      <c r="AX46" s="94">
        <v>2.88</v>
      </c>
      <c r="AY46" s="94">
        <v>3.45</v>
      </c>
      <c r="AZ46" s="94">
        <v>4.32</v>
      </c>
    </row>
    <row r="47" spans="1:52" x14ac:dyDescent="0.3">
      <c r="A47" s="179">
        <v>26</v>
      </c>
      <c r="B47" s="101"/>
      <c r="C47" s="101">
        <v>8.2799999999999994</v>
      </c>
      <c r="D47" s="101">
        <v>10.68</v>
      </c>
      <c r="E47" s="100">
        <v>8.2799999999999994</v>
      </c>
      <c r="F47" s="100">
        <v>11.85</v>
      </c>
      <c r="G47" s="100"/>
      <c r="H47" s="100">
        <v>9.09</v>
      </c>
      <c r="I47" s="100"/>
      <c r="J47" s="100"/>
      <c r="K47" s="100"/>
      <c r="L47" s="100"/>
      <c r="M47" s="100"/>
      <c r="N47" s="100"/>
      <c r="P47" s="179">
        <v>26</v>
      </c>
      <c r="Q47" s="183"/>
      <c r="R47" s="101">
        <v>8.98</v>
      </c>
      <c r="S47" s="101">
        <v>11.07</v>
      </c>
      <c r="T47" s="183">
        <v>8.6300000000000008</v>
      </c>
      <c r="U47" s="183">
        <v>12.58</v>
      </c>
      <c r="V47" s="100"/>
      <c r="W47" s="183">
        <v>9.5500000000000007</v>
      </c>
      <c r="X47" s="101"/>
      <c r="Y47" s="100"/>
      <c r="Z47" s="100"/>
      <c r="AA47" s="100"/>
      <c r="AB47" s="100"/>
      <c r="AC47" s="100"/>
      <c r="AE47" s="179">
        <v>26</v>
      </c>
      <c r="AF47" s="89" t="s">
        <v>731</v>
      </c>
      <c r="AG47" s="89" t="s">
        <v>731</v>
      </c>
      <c r="AH47" s="89" t="s">
        <v>731</v>
      </c>
      <c r="AI47" s="92">
        <v>9.52</v>
      </c>
      <c r="AJ47" s="92" t="s">
        <v>731</v>
      </c>
      <c r="AK47" s="92" t="s">
        <v>731</v>
      </c>
      <c r="AL47" s="92">
        <v>12.7</v>
      </c>
      <c r="AM47" s="78" t="s">
        <v>731</v>
      </c>
      <c r="AN47" s="78" t="s">
        <v>731</v>
      </c>
      <c r="AO47" s="78" t="s">
        <v>731</v>
      </c>
      <c r="AP47" s="78" t="s">
        <v>731</v>
      </c>
      <c r="AQ47" s="78" t="s">
        <v>731</v>
      </c>
      <c r="AR47" s="78" t="s">
        <v>731</v>
      </c>
      <c r="AT47" s="179">
        <v>26</v>
      </c>
      <c r="AU47" s="93">
        <v>1.56</v>
      </c>
      <c r="AV47" s="93">
        <v>1.87</v>
      </c>
      <c r="AW47" s="93">
        <v>2.35</v>
      </c>
      <c r="AX47" s="94">
        <v>3.13</v>
      </c>
      <c r="AY47" s="94">
        <v>3.75</v>
      </c>
      <c r="AZ47" s="94">
        <v>4.6900000000000004</v>
      </c>
    </row>
    <row r="48" spans="1:52" x14ac:dyDescent="0.3">
      <c r="A48" s="179">
        <v>28</v>
      </c>
      <c r="B48" s="101">
        <v>8.91</v>
      </c>
      <c r="C48" s="101">
        <v>8.91</v>
      </c>
      <c r="D48" s="101">
        <v>11.5</v>
      </c>
      <c r="E48" s="100">
        <v>8.91</v>
      </c>
      <c r="F48" s="100">
        <v>12.77</v>
      </c>
      <c r="G48" s="100"/>
      <c r="H48" s="100">
        <v>9.7899999999999991</v>
      </c>
      <c r="I48" s="100"/>
      <c r="J48" s="100"/>
      <c r="K48" s="100"/>
      <c r="L48" s="100"/>
      <c r="M48" s="100"/>
      <c r="N48" s="100"/>
      <c r="P48" s="179">
        <v>28</v>
      </c>
      <c r="Q48" s="183">
        <v>10</v>
      </c>
      <c r="R48" s="101">
        <v>10</v>
      </c>
      <c r="S48" s="101">
        <v>11.91</v>
      </c>
      <c r="T48" s="183">
        <v>9.2899999999999991</v>
      </c>
      <c r="U48" s="183">
        <v>13.55</v>
      </c>
      <c r="V48" s="100"/>
      <c r="W48" s="183">
        <v>10.28</v>
      </c>
      <c r="X48" s="101"/>
      <c r="Y48" s="100"/>
      <c r="Z48" s="100"/>
      <c r="AA48" s="100"/>
      <c r="AB48" s="100"/>
      <c r="AC48" s="100"/>
      <c r="AE48" s="179">
        <v>28</v>
      </c>
      <c r="AF48" s="89" t="s">
        <v>731</v>
      </c>
      <c r="AG48" s="92">
        <v>12.7</v>
      </c>
      <c r="AH48" s="92">
        <v>15.88</v>
      </c>
      <c r="AI48" s="92">
        <v>9.52</v>
      </c>
      <c r="AJ48" s="92" t="s">
        <v>731</v>
      </c>
      <c r="AK48" s="92" t="s">
        <v>731</v>
      </c>
      <c r="AL48" s="92">
        <v>12.7</v>
      </c>
      <c r="AM48" s="78" t="s">
        <v>731</v>
      </c>
      <c r="AN48" s="78" t="s">
        <v>731</v>
      </c>
      <c r="AO48" s="78" t="s">
        <v>731</v>
      </c>
      <c r="AP48" s="78" t="s">
        <v>731</v>
      </c>
      <c r="AQ48" s="78" t="s">
        <v>731</v>
      </c>
      <c r="AR48" s="78" t="s">
        <v>731</v>
      </c>
      <c r="AT48" s="179">
        <v>28</v>
      </c>
      <c r="AU48" s="93">
        <v>1.69</v>
      </c>
      <c r="AV48" s="93">
        <v>2.02</v>
      </c>
      <c r="AW48" s="93">
        <v>2.5299999999999998</v>
      </c>
      <c r="AX48" s="94">
        <v>3.37</v>
      </c>
      <c r="AY48" s="94">
        <v>4.04</v>
      </c>
      <c r="AZ48" s="94">
        <v>5.0599999999999996</v>
      </c>
    </row>
    <row r="49" spans="1:52" x14ac:dyDescent="0.3">
      <c r="A49" s="179">
        <v>30</v>
      </c>
      <c r="B49" s="101">
        <v>10.45</v>
      </c>
      <c r="C49" s="101">
        <v>10.45</v>
      </c>
      <c r="D49" s="101">
        <v>12.28</v>
      </c>
      <c r="E49" s="100">
        <v>9.5</v>
      </c>
      <c r="F49" s="100">
        <v>13.65</v>
      </c>
      <c r="G49" s="100"/>
      <c r="H49" s="100">
        <v>10.45</v>
      </c>
      <c r="I49" s="100"/>
      <c r="J49" s="100"/>
      <c r="K49" s="100"/>
      <c r="L49" s="100"/>
      <c r="M49" s="100"/>
      <c r="N49" s="100"/>
      <c r="P49" s="179">
        <v>30</v>
      </c>
      <c r="Q49" s="183">
        <v>11.01</v>
      </c>
      <c r="R49" s="101">
        <v>11.01</v>
      </c>
      <c r="S49" s="101">
        <v>12.76</v>
      </c>
      <c r="T49" s="183">
        <v>9.9499999999999993</v>
      </c>
      <c r="U49" s="183">
        <v>14.51</v>
      </c>
      <c r="V49" s="100"/>
      <c r="W49" s="183">
        <v>11.01</v>
      </c>
      <c r="X49" s="101"/>
      <c r="Y49" s="100"/>
      <c r="Z49" s="100"/>
      <c r="AA49" s="100"/>
      <c r="AB49" s="100"/>
      <c r="AC49" s="100"/>
      <c r="AE49" s="179">
        <v>30</v>
      </c>
      <c r="AF49" s="92">
        <v>7.92</v>
      </c>
      <c r="AG49" s="92">
        <v>12.7</v>
      </c>
      <c r="AH49" s="92">
        <v>15.88</v>
      </c>
      <c r="AI49" s="92">
        <v>9.52</v>
      </c>
      <c r="AJ49" s="92" t="s">
        <v>731</v>
      </c>
      <c r="AK49" s="92" t="s">
        <v>731</v>
      </c>
      <c r="AL49" s="92">
        <v>12.7</v>
      </c>
      <c r="AM49" s="78" t="s">
        <v>731</v>
      </c>
      <c r="AN49" s="78" t="s">
        <v>731</v>
      </c>
      <c r="AO49" s="78" t="s">
        <v>731</v>
      </c>
      <c r="AP49" s="78" t="s">
        <v>731</v>
      </c>
      <c r="AQ49" s="78" t="s">
        <v>731</v>
      </c>
      <c r="AR49" s="78" t="s">
        <v>731</v>
      </c>
      <c r="AT49" s="179">
        <v>30</v>
      </c>
      <c r="AU49" s="93">
        <v>1.81</v>
      </c>
      <c r="AV49" s="93">
        <v>2.17</v>
      </c>
      <c r="AW49" s="93">
        <v>2.71</v>
      </c>
      <c r="AX49" s="94">
        <v>3.62</v>
      </c>
      <c r="AY49" s="94">
        <v>4.34</v>
      </c>
      <c r="AZ49" s="94">
        <v>5.43</v>
      </c>
    </row>
    <row r="50" spans="1:52" x14ac:dyDescent="0.3">
      <c r="A50" s="179">
        <v>32</v>
      </c>
      <c r="B50" s="101">
        <v>11.14</v>
      </c>
      <c r="C50" s="101">
        <v>11.14</v>
      </c>
      <c r="D50" s="101">
        <v>13.1</v>
      </c>
      <c r="E50" s="100">
        <v>10.14</v>
      </c>
      <c r="F50" s="100">
        <v>14.56</v>
      </c>
      <c r="G50" s="100"/>
      <c r="H50" s="100">
        <v>11.14</v>
      </c>
      <c r="I50" s="100"/>
      <c r="J50" s="100"/>
      <c r="K50" s="100"/>
      <c r="L50" s="100"/>
      <c r="M50" s="100"/>
      <c r="N50" s="100"/>
      <c r="P50" s="179">
        <v>32</v>
      </c>
      <c r="Q50" s="183">
        <v>11.74</v>
      </c>
      <c r="R50" s="101">
        <v>11.74</v>
      </c>
      <c r="S50" s="101">
        <v>13.61</v>
      </c>
      <c r="T50" s="183">
        <v>10.61</v>
      </c>
      <c r="U50" s="183">
        <v>15.48</v>
      </c>
      <c r="V50" s="100"/>
      <c r="W50" s="183">
        <v>11.74</v>
      </c>
      <c r="X50" s="101"/>
      <c r="Y50" s="100"/>
      <c r="Z50" s="100"/>
      <c r="AA50" s="100"/>
      <c r="AB50" s="100"/>
      <c r="AC50" s="100"/>
      <c r="AE50" s="179">
        <v>32</v>
      </c>
      <c r="AF50" s="89" t="s">
        <v>731</v>
      </c>
      <c r="AG50" s="89" t="s">
        <v>731</v>
      </c>
      <c r="AH50" s="89" t="s">
        <v>731</v>
      </c>
      <c r="AI50" s="92">
        <v>9.52</v>
      </c>
      <c r="AJ50" s="92">
        <v>17.48</v>
      </c>
      <c r="AK50" s="92" t="s">
        <v>731</v>
      </c>
      <c r="AL50" s="92">
        <v>12.7</v>
      </c>
      <c r="AM50" s="78" t="s">
        <v>731</v>
      </c>
      <c r="AN50" s="78" t="s">
        <v>731</v>
      </c>
      <c r="AO50" s="78" t="s">
        <v>731</v>
      </c>
      <c r="AP50" s="78" t="s">
        <v>731</v>
      </c>
      <c r="AQ50" s="78" t="s">
        <v>731</v>
      </c>
      <c r="AR50" s="78" t="s">
        <v>731</v>
      </c>
      <c r="AT50" s="179">
        <v>32</v>
      </c>
      <c r="AU50" s="93">
        <v>1.93</v>
      </c>
      <c r="AV50" s="93">
        <v>2.3199999999999998</v>
      </c>
      <c r="AW50" s="93">
        <v>2.9</v>
      </c>
      <c r="AX50" s="94">
        <v>3.86</v>
      </c>
      <c r="AY50" s="94">
        <v>4.63</v>
      </c>
      <c r="AZ50" s="94">
        <v>5.79</v>
      </c>
    </row>
    <row r="51" spans="1:52" x14ac:dyDescent="0.3">
      <c r="A51" s="179">
        <v>36</v>
      </c>
      <c r="B51" s="100"/>
      <c r="C51" s="101">
        <v>12.51</v>
      </c>
      <c r="D51" s="101">
        <v>14.72</v>
      </c>
      <c r="E51" s="100">
        <v>11.38</v>
      </c>
      <c r="F51" s="100">
        <v>16.37</v>
      </c>
      <c r="G51" s="100"/>
      <c r="H51" s="100">
        <v>12.51</v>
      </c>
      <c r="I51" s="100"/>
      <c r="J51" s="100"/>
      <c r="K51" s="100"/>
      <c r="L51" s="100"/>
      <c r="M51" s="100"/>
      <c r="N51" s="100"/>
      <c r="P51" s="179">
        <v>36</v>
      </c>
      <c r="Q51" s="100"/>
      <c r="R51" s="101">
        <v>13.2</v>
      </c>
      <c r="S51" s="101">
        <v>15.3</v>
      </c>
      <c r="T51" s="183">
        <v>11.92</v>
      </c>
      <c r="U51" s="183">
        <v>17.399999999999999</v>
      </c>
      <c r="V51" s="100"/>
      <c r="W51" s="183">
        <v>13.2</v>
      </c>
      <c r="X51" s="101"/>
      <c r="Y51" s="100"/>
      <c r="Z51" s="100"/>
      <c r="AA51" s="100"/>
      <c r="AB51" s="100"/>
      <c r="AC51" s="100"/>
      <c r="AE51" s="179">
        <v>36</v>
      </c>
      <c r="AF51" s="92">
        <v>7.92</v>
      </c>
      <c r="AG51" s="92">
        <v>12.7</v>
      </c>
      <c r="AH51" s="92">
        <v>15.88</v>
      </c>
      <c r="AI51" s="92">
        <v>9.52</v>
      </c>
      <c r="AJ51" s="92">
        <v>19.05</v>
      </c>
      <c r="AK51" s="92" t="s">
        <v>731</v>
      </c>
      <c r="AL51" s="92">
        <v>12.7</v>
      </c>
      <c r="AM51" s="78" t="s">
        <v>731</v>
      </c>
      <c r="AN51" s="78" t="s">
        <v>731</v>
      </c>
      <c r="AO51" s="78" t="s">
        <v>731</v>
      </c>
      <c r="AP51" s="78" t="s">
        <v>731</v>
      </c>
      <c r="AQ51" s="78" t="s">
        <v>731</v>
      </c>
      <c r="AR51" s="78" t="s">
        <v>731</v>
      </c>
      <c r="AT51" s="179">
        <v>36</v>
      </c>
      <c r="AU51" s="93">
        <v>2.1800000000000002</v>
      </c>
      <c r="AV51" s="93">
        <v>2.61</v>
      </c>
      <c r="AW51" s="93">
        <v>3.26</v>
      </c>
      <c r="AX51" s="94">
        <v>4.3499999999999996</v>
      </c>
      <c r="AY51" s="94">
        <v>5.22</v>
      </c>
      <c r="AZ51" s="94">
        <v>6.53</v>
      </c>
    </row>
    <row r="52" spans="1:52" x14ac:dyDescent="0.3">
      <c r="A52" s="179">
        <v>42</v>
      </c>
      <c r="B52" s="100"/>
      <c r="C52" s="100"/>
      <c r="D52" s="100"/>
      <c r="E52" s="100">
        <v>13.24</v>
      </c>
      <c r="F52" s="100"/>
      <c r="G52" s="100"/>
      <c r="H52" s="100"/>
      <c r="I52" s="100"/>
      <c r="J52" s="100"/>
      <c r="K52" s="100"/>
      <c r="L52" s="100"/>
      <c r="M52" s="100"/>
      <c r="N52" s="100"/>
      <c r="P52" s="179">
        <v>42</v>
      </c>
      <c r="Q52" s="100"/>
      <c r="R52" s="100"/>
      <c r="S52" s="100"/>
      <c r="T52" s="183">
        <v>13.9</v>
      </c>
      <c r="U52" s="100"/>
      <c r="V52" s="100"/>
      <c r="W52" s="100"/>
      <c r="X52" s="100"/>
      <c r="Y52" s="100"/>
      <c r="Z52" s="100"/>
      <c r="AA52" s="100"/>
      <c r="AB52" s="100"/>
      <c r="AC52" s="100"/>
      <c r="AE52" s="179">
        <v>42</v>
      </c>
      <c r="AF52" s="89" t="s">
        <v>731</v>
      </c>
      <c r="AG52" s="89" t="s">
        <v>731</v>
      </c>
      <c r="AH52" s="89" t="s">
        <v>731</v>
      </c>
      <c r="AI52" s="92">
        <v>9.52</v>
      </c>
      <c r="AJ52" s="92" t="s">
        <v>731</v>
      </c>
      <c r="AK52" s="92" t="s">
        <v>731</v>
      </c>
      <c r="AL52" s="92">
        <v>12.7</v>
      </c>
      <c r="AM52" s="78" t="s">
        <v>731</v>
      </c>
      <c r="AN52" s="78" t="s">
        <v>731</v>
      </c>
      <c r="AO52" s="78" t="s">
        <v>731</v>
      </c>
      <c r="AP52" s="78" t="s">
        <v>731</v>
      </c>
      <c r="AQ52" s="78" t="s">
        <v>731</v>
      </c>
      <c r="AR52" s="78" t="s">
        <v>731</v>
      </c>
      <c r="AT52" s="179">
        <v>42</v>
      </c>
      <c r="AU52" s="93">
        <v>2.54</v>
      </c>
      <c r="AV52" s="93">
        <v>3.05</v>
      </c>
      <c r="AW52" s="93">
        <v>3.81</v>
      </c>
      <c r="AX52" s="94">
        <v>5.09</v>
      </c>
      <c r="AY52" s="94">
        <v>6.11</v>
      </c>
      <c r="AZ52" s="94">
        <v>7.63</v>
      </c>
    </row>
    <row r="53" spans="1:52" x14ac:dyDescent="0.3">
      <c r="A53" s="179">
        <v>48</v>
      </c>
      <c r="B53" s="100"/>
      <c r="C53" s="100"/>
      <c r="D53" s="100"/>
      <c r="E53" s="100">
        <v>15.11</v>
      </c>
      <c r="F53" s="100"/>
      <c r="G53" s="100"/>
      <c r="H53" s="100"/>
      <c r="I53" s="100"/>
      <c r="J53" s="100"/>
      <c r="K53" s="100"/>
      <c r="L53" s="100"/>
      <c r="M53" s="100"/>
      <c r="N53" s="100"/>
      <c r="P53" s="179">
        <v>48</v>
      </c>
      <c r="Q53" s="100"/>
      <c r="R53" s="100"/>
      <c r="S53" s="100"/>
      <c r="T53" s="183">
        <v>15.88</v>
      </c>
      <c r="U53" s="100"/>
      <c r="V53" s="100"/>
      <c r="W53" s="100"/>
      <c r="X53" s="100"/>
      <c r="Y53" s="100"/>
      <c r="Z53" s="100"/>
      <c r="AA53" s="100"/>
      <c r="AB53" s="100"/>
      <c r="AC53" s="100"/>
      <c r="AE53" s="179">
        <v>48</v>
      </c>
      <c r="AF53" s="89" t="s">
        <v>731</v>
      </c>
      <c r="AG53" s="89" t="s">
        <v>731</v>
      </c>
      <c r="AH53" s="89" t="s">
        <v>731</v>
      </c>
      <c r="AI53" s="92">
        <v>9.52</v>
      </c>
      <c r="AJ53" s="92" t="s">
        <v>731</v>
      </c>
      <c r="AK53" s="92" t="s">
        <v>731</v>
      </c>
      <c r="AL53" s="92">
        <v>12.7</v>
      </c>
      <c r="AM53" s="78" t="s">
        <v>731</v>
      </c>
      <c r="AN53" s="78" t="s">
        <v>731</v>
      </c>
      <c r="AO53" s="78" t="s">
        <v>731</v>
      </c>
      <c r="AP53" s="78" t="s">
        <v>731</v>
      </c>
      <c r="AQ53" s="78" t="s">
        <v>731</v>
      </c>
      <c r="AR53" s="78" t="s">
        <v>731</v>
      </c>
      <c r="AT53" s="179">
        <v>48</v>
      </c>
      <c r="AU53" s="93">
        <v>2.91</v>
      </c>
      <c r="AV53" s="93">
        <v>3.5</v>
      </c>
      <c r="AW53" s="93">
        <v>4.37</v>
      </c>
      <c r="AX53" s="94">
        <v>5.82</v>
      </c>
      <c r="AY53" s="94">
        <v>6.99</v>
      </c>
      <c r="AZ53" s="94">
        <v>8.73</v>
      </c>
    </row>
    <row r="54" spans="1:52" x14ac:dyDescent="0.3">
      <c r="A54" s="83"/>
      <c r="B54" s="84"/>
      <c r="C54" s="84"/>
      <c r="D54" s="84"/>
      <c r="E54" s="84"/>
      <c r="F54" s="84"/>
      <c r="G54" s="84"/>
      <c r="H54" s="84"/>
      <c r="I54" s="84"/>
      <c r="J54" s="84"/>
      <c r="K54" s="84"/>
      <c r="L54" s="84"/>
      <c r="M54" s="84"/>
      <c r="N54" s="84"/>
      <c r="P54" s="83"/>
      <c r="Q54" s="84"/>
      <c r="R54" s="84"/>
      <c r="S54" s="84"/>
      <c r="T54" s="84"/>
      <c r="U54" s="84"/>
      <c r="V54" s="84"/>
      <c r="W54" s="84"/>
      <c r="X54" s="84"/>
      <c r="Y54" s="84"/>
      <c r="Z54" s="84"/>
      <c r="AA54" s="84"/>
      <c r="AB54" s="84"/>
      <c r="AC54" s="84"/>
    </row>
    <row r="55" spans="1:52" x14ac:dyDescent="0.3">
      <c r="A55" s="85" t="s">
        <v>732</v>
      </c>
      <c r="B55" s="100" t="s">
        <v>704</v>
      </c>
      <c r="C55" s="100" t="s">
        <v>705</v>
      </c>
      <c r="D55" s="100" t="s">
        <v>706</v>
      </c>
      <c r="E55" s="100" t="s">
        <v>707</v>
      </c>
      <c r="F55" s="100" t="s">
        <v>708</v>
      </c>
      <c r="G55" s="100" t="s">
        <v>709</v>
      </c>
      <c r="H55" s="100" t="s">
        <v>710</v>
      </c>
      <c r="I55" s="100" t="s">
        <v>711</v>
      </c>
      <c r="J55" s="100" t="s">
        <v>712</v>
      </c>
      <c r="K55" s="100" t="s">
        <v>713</v>
      </c>
      <c r="L55" s="100" t="s">
        <v>714</v>
      </c>
      <c r="M55" s="100" t="s">
        <v>715</v>
      </c>
      <c r="N55" s="100" t="s">
        <v>716</v>
      </c>
      <c r="P55" s="86" t="s">
        <v>733</v>
      </c>
      <c r="Q55" s="183" t="s">
        <v>704</v>
      </c>
      <c r="R55" s="183" t="s">
        <v>705</v>
      </c>
      <c r="S55" s="183" t="s">
        <v>706</v>
      </c>
      <c r="T55" s="183" t="s">
        <v>707</v>
      </c>
      <c r="U55" s="183" t="s">
        <v>708</v>
      </c>
      <c r="V55" s="183" t="s">
        <v>709</v>
      </c>
      <c r="W55" s="183" t="s">
        <v>710</v>
      </c>
      <c r="X55" s="183" t="s">
        <v>711</v>
      </c>
      <c r="Y55" s="183" t="s">
        <v>712</v>
      </c>
      <c r="Z55" s="183" t="s">
        <v>713</v>
      </c>
      <c r="AA55" s="183" t="s">
        <v>714</v>
      </c>
      <c r="AB55" s="183" t="s">
        <v>715</v>
      </c>
      <c r="AC55" s="183" t="s">
        <v>716</v>
      </c>
    </row>
    <row r="56" spans="1:52" x14ac:dyDescent="0.3">
      <c r="A56" s="179" t="s">
        <v>718</v>
      </c>
      <c r="B56" s="101">
        <v>0.36</v>
      </c>
      <c r="C56" s="100"/>
      <c r="D56" s="100"/>
      <c r="E56" s="100">
        <v>0.36</v>
      </c>
      <c r="F56" s="100">
        <v>0.36</v>
      </c>
      <c r="G56" s="100"/>
      <c r="H56" s="100">
        <v>0.36</v>
      </c>
      <c r="I56" s="101">
        <v>0.36</v>
      </c>
      <c r="J56" s="101"/>
      <c r="K56" s="100"/>
      <c r="L56" s="101"/>
      <c r="M56" s="101">
        <v>0.36</v>
      </c>
      <c r="N56" s="101">
        <v>0.36</v>
      </c>
      <c r="P56" s="179" t="s">
        <v>718</v>
      </c>
      <c r="Q56" s="183">
        <v>0.41</v>
      </c>
      <c r="R56" s="100"/>
      <c r="S56" s="100"/>
      <c r="T56" s="183">
        <v>0.41</v>
      </c>
      <c r="U56" s="183">
        <v>0.41</v>
      </c>
      <c r="V56" s="100"/>
      <c r="W56" s="183">
        <v>0.41</v>
      </c>
      <c r="X56" s="101">
        <v>0.41</v>
      </c>
      <c r="Y56" s="100"/>
      <c r="Z56" s="100"/>
      <c r="AA56" s="100"/>
      <c r="AB56" s="101">
        <v>0.41</v>
      </c>
      <c r="AC56" s="101">
        <v>0.41</v>
      </c>
    </row>
    <row r="57" spans="1:52" x14ac:dyDescent="0.3">
      <c r="A57" s="179" t="s">
        <v>719</v>
      </c>
      <c r="B57" s="101">
        <v>0.44</v>
      </c>
      <c r="C57" s="100"/>
      <c r="D57" s="100"/>
      <c r="E57" s="100">
        <v>0.44</v>
      </c>
      <c r="F57" s="100">
        <v>0.44</v>
      </c>
      <c r="G57" s="100"/>
      <c r="H57" s="100">
        <v>0.44</v>
      </c>
      <c r="I57" s="101">
        <v>0.44</v>
      </c>
      <c r="J57" s="101"/>
      <c r="K57" s="100"/>
      <c r="L57" s="101"/>
      <c r="M57" s="101">
        <v>0.44</v>
      </c>
      <c r="N57" s="101">
        <v>0.44</v>
      </c>
      <c r="P57" s="179" t="s">
        <v>719</v>
      </c>
      <c r="Q57" s="183">
        <v>0.5</v>
      </c>
      <c r="R57" s="100"/>
      <c r="S57" s="100"/>
      <c r="T57" s="183">
        <v>0.5</v>
      </c>
      <c r="U57" s="183">
        <v>0.5</v>
      </c>
      <c r="V57" s="100"/>
      <c r="W57" s="183">
        <v>0.5</v>
      </c>
      <c r="X57" s="101">
        <v>0.5</v>
      </c>
      <c r="Y57" s="100"/>
      <c r="Z57" s="100"/>
      <c r="AA57" s="100"/>
      <c r="AB57" s="101">
        <v>0.5</v>
      </c>
      <c r="AC57" s="101">
        <v>0.5</v>
      </c>
    </row>
    <row r="58" spans="1:52" x14ac:dyDescent="0.3">
      <c r="A58" s="179">
        <v>1</v>
      </c>
      <c r="B58" s="101">
        <v>0.61</v>
      </c>
      <c r="C58" s="100"/>
      <c r="D58" s="100"/>
      <c r="E58" s="100">
        <v>0.61</v>
      </c>
      <c r="F58" s="100">
        <v>0.61</v>
      </c>
      <c r="G58" s="100"/>
      <c r="H58" s="100">
        <v>0.61</v>
      </c>
      <c r="I58" s="101">
        <v>0.61</v>
      </c>
      <c r="J58" s="101"/>
      <c r="K58" s="100"/>
      <c r="L58" s="101"/>
      <c r="M58" s="101">
        <v>0.61</v>
      </c>
      <c r="N58" s="101">
        <v>0.61</v>
      </c>
      <c r="P58" s="179">
        <v>1</v>
      </c>
      <c r="Q58" s="183">
        <v>0.64</v>
      </c>
      <c r="R58" s="100"/>
      <c r="S58" s="100"/>
      <c r="T58" s="183">
        <v>0.64</v>
      </c>
      <c r="U58" s="183">
        <v>0.64</v>
      </c>
      <c r="V58" s="100"/>
      <c r="W58" s="183">
        <v>0.64</v>
      </c>
      <c r="X58" s="101">
        <v>0.64</v>
      </c>
      <c r="Y58" s="100"/>
      <c r="Z58" s="100"/>
      <c r="AA58" s="100"/>
      <c r="AB58" s="101">
        <v>0.64</v>
      </c>
      <c r="AC58" s="101">
        <v>0.64</v>
      </c>
    </row>
    <row r="59" spans="1:52" x14ac:dyDescent="0.3">
      <c r="A59" s="179" t="s">
        <v>720</v>
      </c>
      <c r="B59" s="101">
        <v>0.76</v>
      </c>
      <c r="C59" s="100"/>
      <c r="D59" s="100"/>
      <c r="E59" s="100">
        <v>0.76</v>
      </c>
      <c r="F59" s="100">
        <v>0.76</v>
      </c>
      <c r="G59" s="100"/>
      <c r="H59" s="100">
        <v>0.76</v>
      </c>
      <c r="I59" s="101">
        <v>0.76</v>
      </c>
      <c r="J59" s="101"/>
      <c r="K59" s="100"/>
      <c r="L59" s="101"/>
      <c r="M59" s="101">
        <v>0.76</v>
      </c>
      <c r="N59" s="101">
        <v>0.84</v>
      </c>
      <c r="P59" s="179" t="s">
        <v>720</v>
      </c>
      <c r="Q59" s="183">
        <v>0.86</v>
      </c>
      <c r="R59" s="100"/>
      <c r="S59" s="100"/>
      <c r="T59" s="183">
        <v>0.86</v>
      </c>
      <c r="U59" s="183">
        <v>0.86</v>
      </c>
      <c r="V59" s="100"/>
      <c r="W59" s="183">
        <v>0.86</v>
      </c>
      <c r="X59" s="101">
        <v>0.86</v>
      </c>
      <c r="Y59" s="100"/>
      <c r="Z59" s="100"/>
      <c r="AA59" s="100"/>
      <c r="AB59" s="101">
        <v>0.86</v>
      </c>
      <c r="AC59" s="101">
        <v>0.95</v>
      </c>
    </row>
    <row r="60" spans="1:52" x14ac:dyDescent="0.3">
      <c r="A60" s="179">
        <v>2</v>
      </c>
      <c r="B60" s="101">
        <v>0.93</v>
      </c>
      <c r="C60" s="100"/>
      <c r="D60" s="100"/>
      <c r="E60" s="100">
        <v>0.93</v>
      </c>
      <c r="F60" s="100">
        <v>0.93</v>
      </c>
      <c r="G60" s="100"/>
      <c r="H60" s="100">
        <v>0.93</v>
      </c>
      <c r="I60" s="101">
        <v>0.93</v>
      </c>
      <c r="J60" s="101"/>
      <c r="K60" s="100"/>
      <c r="L60" s="101"/>
      <c r="M60" s="101">
        <v>0.93</v>
      </c>
      <c r="N60" s="101">
        <v>1.03</v>
      </c>
      <c r="P60" s="179">
        <v>2</v>
      </c>
      <c r="Q60" s="183">
        <v>1.07</v>
      </c>
      <c r="R60" s="100"/>
      <c r="S60" s="100"/>
      <c r="T60" s="183">
        <v>1.07</v>
      </c>
      <c r="U60" s="183">
        <v>1.07</v>
      </c>
      <c r="V60" s="100"/>
      <c r="W60" s="183">
        <v>1.07</v>
      </c>
      <c r="X60" s="101">
        <v>1.07</v>
      </c>
      <c r="Y60" s="100"/>
      <c r="Z60" s="100"/>
      <c r="AA60" s="100"/>
      <c r="AB60" s="101">
        <v>1.07</v>
      </c>
      <c r="AC60" s="101">
        <v>1.18</v>
      </c>
    </row>
    <row r="61" spans="1:52" x14ac:dyDescent="0.3">
      <c r="A61" s="179" t="s">
        <v>721</v>
      </c>
      <c r="B61" s="101">
        <v>1.03</v>
      </c>
      <c r="C61" s="100"/>
      <c r="D61" s="100"/>
      <c r="E61" s="100">
        <v>1.03</v>
      </c>
      <c r="F61" s="100">
        <v>1.03</v>
      </c>
      <c r="G61" s="100"/>
      <c r="H61" s="100">
        <v>1.03</v>
      </c>
      <c r="I61" s="101">
        <v>1.03</v>
      </c>
      <c r="J61" s="101"/>
      <c r="K61" s="100"/>
      <c r="L61" s="101"/>
      <c r="M61" s="101">
        <v>1.03</v>
      </c>
      <c r="N61" s="101">
        <v>1.31</v>
      </c>
      <c r="P61" s="179" t="s">
        <v>721</v>
      </c>
      <c r="Q61" s="183">
        <v>1.2</v>
      </c>
      <c r="R61" s="100"/>
      <c r="S61" s="100"/>
      <c r="T61" s="183">
        <v>1.2</v>
      </c>
      <c r="U61" s="183">
        <v>1.2</v>
      </c>
      <c r="V61" s="100"/>
      <c r="W61" s="183">
        <v>1.2</v>
      </c>
      <c r="X61" s="101">
        <v>1.2</v>
      </c>
      <c r="Y61" s="100"/>
      <c r="Z61" s="100"/>
      <c r="AA61" s="100"/>
      <c r="AB61" s="101">
        <v>1.2</v>
      </c>
      <c r="AC61" s="101">
        <v>1.5</v>
      </c>
    </row>
    <row r="62" spans="1:52" x14ac:dyDescent="0.3">
      <c r="A62" s="179">
        <v>3</v>
      </c>
      <c r="B62" s="101">
        <v>1.1200000000000001</v>
      </c>
      <c r="C62" s="100"/>
      <c r="D62" s="100"/>
      <c r="E62" s="100">
        <v>1.1200000000000001</v>
      </c>
      <c r="F62" s="100">
        <v>1.1200000000000001</v>
      </c>
      <c r="G62" s="100"/>
      <c r="H62" s="100">
        <v>1.1200000000000001</v>
      </c>
      <c r="I62" s="101">
        <v>1.1200000000000001</v>
      </c>
      <c r="J62" s="101"/>
      <c r="K62" s="100"/>
      <c r="L62" s="101"/>
      <c r="M62" s="101">
        <v>1.24</v>
      </c>
      <c r="N62" s="101">
        <v>1.42</v>
      </c>
      <c r="P62" s="179">
        <v>3</v>
      </c>
      <c r="Q62" s="183">
        <v>1.3</v>
      </c>
      <c r="R62" s="100"/>
      <c r="S62" s="100"/>
      <c r="T62" s="183">
        <v>1.3</v>
      </c>
      <c r="U62" s="183">
        <v>1.3</v>
      </c>
      <c r="V62" s="100"/>
      <c r="W62" s="183">
        <v>1.3</v>
      </c>
      <c r="X62" s="101">
        <v>1.3</v>
      </c>
      <c r="Y62" s="100"/>
      <c r="Z62" s="100"/>
      <c r="AA62" s="100"/>
      <c r="AB62" s="101">
        <v>1.43</v>
      </c>
      <c r="AC62" s="101">
        <v>1.63</v>
      </c>
    </row>
    <row r="63" spans="1:52" x14ac:dyDescent="0.3">
      <c r="A63" s="179">
        <v>4</v>
      </c>
      <c r="B63" s="101">
        <v>1.32</v>
      </c>
      <c r="C63" s="100"/>
      <c r="D63" s="100"/>
      <c r="E63" s="100">
        <v>1.32</v>
      </c>
      <c r="F63" s="100">
        <v>1.32</v>
      </c>
      <c r="G63" s="100"/>
      <c r="H63" s="100">
        <v>1.32</v>
      </c>
      <c r="I63" s="101">
        <v>1.32</v>
      </c>
      <c r="J63" s="101"/>
      <c r="K63" s="100">
        <v>1.45</v>
      </c>
      <c r="L63" s="101"/>
      <c r="M63" s="101">
        <v>1.68</v>
      </c>
      <c r="N63" s="101">
        <v>1.87</v>
      </c>
      <c r="P63" s="179">
        <v>4</v>
      </c>
      <c r="Q63" s="183">
        <v>1.5</v>
      </c>
      <c r="R63" s="100"/>
      <c r="S63" s="100"/>
      <c r="T63" s="183">
        <v>1.5</v>
      </c>
      <c r="U63" s="183">
        <v>1.5</v>
      </c>
      <c r="V63" s="100"/>
      <c r="W63" s="183">
        <v>1.5</v>
      </c>
      <c r="X63" s="101">
        <v>1.5</v>
      </c>
      <c r="Y63" s="100"/>
      <c r="Z63" s="101">
        <v>1.66</v>
      </c>
      <c r="AA63" s="100"/>
      <c r="AB63" s="101">
        <v>1.9</v>
      </c>
      <c r="AC63" s="101">
        <v>2.16</v>
      </c>
    </row>
    <row r="64" spans="1:52" x14ac:dyDescent="0.3">
      <c r="A64" s="179">
        <v>6</v>
      </c>
      <c r="B64" s="101">
        <v>1.67</v>
      </c>
      <c r="C64" s="100"/>
      <c r="D64" s="100"/>
      <c r="E64" s="100">
        <v>1.67</v>
      </c>
      <c r="F64" s="100">
        <v>1.67</v>
      </c>
      <c r="G64" s="100"/>
      <c r="H64" s="100">
        <v>1.84</v>
      </c>
      <c r="I64" s="101">
        <v>1.84</v>
      </c>
      <c r="J64" s="100"/>
      <c r="K64" s="100">
        <v>2.13</v>
      </c>
      <c r="L64" s="100"/>
      <c r="M64" s="101">
        <v>2.37</v>
      </c>
      <c r="N64" s="101">
        <v>2.67</v>
      </c>
      <c r="P64" s="179">
        <v>6</v>
      </c>
      <c r="Q64" s="183">
        <v>1.88</v>
      </c>
      <c r="R64" s="100"/>
      <c r="S64" s="100"/>
      <c r="T64" s="183">
        <v>1.88</v>
      </c>
      <c r="U64" s="183">
        <v>1.88</v>
      </c>
      <c r="V64" s="100"/>
      <c r="W64" s="183">
        <v>2.08</v>
      </c>
      <c r="X64" s="101">
        <v>2.08</v>
      </c>
      <c r="Y64" s="101"/>
      <c r="Z64" s="101">
        <v>2.38</v>
      </c>
      <c r="AA64" s="100"/>
      <c r="AB64" s="101">
        <v>2.7</v>
      </c>
      <c r="AC64" s="101">
        <v>3.05</v>
      </c>
    </row>
    <row r="65" spans="1:43" x14ac:dyDescent="0.3">
      <c r="A65" s="179">
        <v>8</v>
      </c>
      <c r="B65" s="101">
        <v>2.0299999999999998</v>
      </c>
      <c r="C65" s="101">
        <v>2.0299999999999998</v>
      </c>
      <c r="D65" s="101">
        <v>2.0299999999999998</v>
      </c>
      <c r="E65" s="100">
        <v>2.0299999999999998</v>
      </c>
      <c r="F65" s="100">
        <v>2.0299999999999998</v>
      </c>
      <c r="G65" s="100">
        <v>2.2400000000000002</v>
      </c>
      <c r="H65" s="100">
        <v>2.2400000000000002</v>
      </c>
      <c r="I65" s="101">
        <v>2.2400000000000002</v>
      </c>
      <c r="J65" s="101">
        <v>2.59</v>
      </c>
      <c r="K65" s="100">
        <v>2.88</v>
      </c>
      <c r="L65" s="101">
        <v>3.24</v>
      </c>
      <c r="M65" s="101">
        <v>3.24</v>
      </c>
      <c r="N65" s="101">
        <v>3.24</v>
      </c>
      <c r="P65" s="179">
        <v>8</v>
      </c>
      <c r="Q65" s="183">
        <v>2.2200000000000002</v>
      </c>
      <c r="R65" s="101">
        <v>2.2200000000000002</v>
      </c>
      <c r="S65" s="101">
        <v>2.2200000000000002</v>
      </c>
      <c r="T65" s="183">
        <v>2.2200000000000002</v>
      </c>
      <c r="U65" s="183">
        <v>2.2200000000000002</v>
      </c>
      <c r="V65" s="101">
        <v>2.46</v>
      </c>
      <c r="W65" s="183">
        <v>2.46</v>
      </c>
      <c r="X65" s="101">
        <v>2.46</v>
      </c>
      <c r="Y65" s="100">
        <v>2.82</v>
      </c>
      <c r="Z65" s="101">
        <v>3.21</v>
      </c>
      <c r="AA65" s="101">
        <v>3.62</v>
      </c>
      <c r="AB65" s="101">
        <v>3.62</v>
      </c>
      <c r="AC65" s="101">
        <v>3.62</v>
      </c>
    </row>
    <row r="66" spans="1:43" x14ac:dyDescent="0.3">
      <c r="A66" s="179">
        <v>10</v>
      </c>
      <c r="B66" s="101">
        <v>2.38</v>
      </c>
      <c r="C66" s="101">
        <v>2.38</v>
      </c>
      <c r="D66" s="101">
        <v>2.38</v>
      </c>
      <c r="E66" s="100">
        <v>2.38</v>
      </c>
      <c r="F66" s="100">
        <v>2.38</v>
      </c>
      <c r="G66" s="100">
        <v>2.62</v>
      </c>
      <c r="H66" s="100">
        <v>2.62</v>
      </c>
      <c r="I66" s="101">
        <v>3.04</v>
      </c>
      <c r="J66" s="101">
        <v>3.38</v>
      </c>
      <c r="K66" s="100">
        <v>3.8</v>
      </c>
      <c r="L66" s="101">
        <v>4.3</v>
      </c>
      <c r="M66" s="101">
        <v>5.09</v>
      </c>
      <c r="N66" s="101">
        <v>4.3</v>
      </c>
      <c r="P66" s="179">
        <v>10</v>
      </c>
      <c r="Q66" s="183">
        <v>2.59</v>
      </c>
      <c r="R66" s="101">
        <v>2.59</v>
      </c>
      <c r="S66" s="101">
        <v>2.59</v>
      </c>
      <c r="T66" s="183">
        <v>2.59</v>
      </c>
      <c r="U66" s="183">
        <v>2.59</v>
      </c>
      <c r="V66" s="101">
        <v>2.87</v>
      </c>
      <c r="W66" s="183">
        <v>2.87</v>
      </c>
      <c r="X66" s="101">
        <v>3.28</v>
      </c>
      <c r="Y66" s="100">
        <v>3.74</v>
      </c>
      <c r="Z66" s="101">
        <v>4.2300000000000004</v>
      </c>
      <c r="AA66" s="101">
        <v>4.8099999999999996</v>
      </c>
      <c r="AB66" s="101">
        <v>5.71</v>
      </c>
      <c r="AC66" s="101">
        <v>4.8099999999999996</v>
      </c>
    </row>
    <row r="67" spans="1:43" x14ac:dyDescent="0.3">
      <c r="A67" s="179">
        <v>12</v>
      </c>
      <c r="B67" s="101">
        <v>2.74</v>
      </c>
      <c r="C67" s="101">
        <v>2.74</v>
      </c>
      <c r="D67" s="101">
        <v>2.74</v>
      </c>
      <c r="E67" s="100">
        <v>2.74</v>
      </c>
      <c r="F67" s="100">
        <v>3.02</v>
      </c>
      <c r="G67" s="100">
        <v>3.5</v>
      </c>
      <c r="H67" s="100">
        <v>3.02</v>
      </c>
      <c r="I67" s="101">
        <v>3.89</v>
      </c>
      <c r="J67" s="101">
        <v>4.37</v>
      </c>
      <c r="K67" s="100">
        <v>4.95</v>
      </c>
      <c r="L67" s="101">
        <v>5.86</v>
      </c>
      <c r="M67" s="101">
        <v>7.23</v>
      </c>
      <c r="N67" s="101">
        <v>4.95</v>
      </c>
      <c r="P67" s="179">
        <v>12</v>
      </c>
      <c r="Q67" s="183">
        <v>2.94</v>
      </c>
      <c r="R67" s="101">
        <v>2.94</v>
      </c>
      <c r="S67" s="101">
        <v>2.94</v>
      </c>
      <c r="T67" s="183">
        <v>2.94</v>
      </c>
      <c r="U67" s="183">
        <v>3.26</v>
      </c>
      <c r="V67" s="101">
        <v>3.73</v>
      </c>
      <c r="W67" s="183">
        <v>3.26</v>
      </c>
      <c r="X67" s="101">
        <v>4.26</v>
      </c>
      <c r="Y67" s="100">
        <v>4.8099999999999996</v>
      </c>
      <c r="Z67" s="101">
        <v>5.48</v>
      </c>
      <c r="AA67" s="101">
        <v>6.5</v>
      </c>
      <c r="AB67" s="101">
        <v>8.09</v>
      </c>
      <c r="AC67" s="101">
        <v>5.48</v>
      </c>
    </row>
    <row r="68" spans="1:43" x14ac:dyDescent="0.3">
      <c r="A68" s="179">
        <v>14</v>
      </c>
      <c r="B68" s="101">
        <v>3.1</v>
      </c>
      <c r="C68" s="101">
        <v>3.1</v>
      </c>
      <c r="D68" s="101">
        <v>3.1</v>
      </c>
      <c r="E68" s="100">
        <v>3.1</v>
      </c>
      <c r="F68" s="100">
        <v>3.4</v>
      </c>
      <c r="G68" s="100">
        <v>3.95</v>
      </c>
      <c r="H68" s="100">
        <v>3.4</v>
      </c>
      <c r="I68" s="101">
        <v>4.4000000000000004</v>
      </c>
      <c r="J68" s="101">
        <v>5.58</v>
      </c>
      <c r="K68" s="100">
        <v>6.62</v>
      </c>
      <c r="L68" s="101">
        <v>7.54</v>
      </c>
      <c r="M68" s="101">
        <v>8.7799999999999994</v>
      </c>
      <c r="N68" s="100"/>
      <c r="P68" s="179">
        <v>14</v>
      </c>
      <c r="Q68" s="183">
        <v>3.34</v>
      </c>
      <c r="R68" s="101">
        <v>3.34</v>
      </c>
      <c r="S68" s="101">
        <v>3.34</v>
      </c>
      <c r="T68" s="183">
        <v>3.34</v>
      </c>
      <c r="U68" s="183">
        <v>3.7</v>
      </c>
      <c r="V68" s="101">
        <v>4.24</v>
      </c>
      <c r="W68" s="183">
        <v>3.7</v>
      </c>
      <c r="X68" s="101">
        <v>4.83</v>
      </c>
      <c r="Y68" s="100">
        <v>6.2</v>
      </c>
      <c r="Z68" s="101">
        <v>7.37</v>
      </c>
      <c r="AA68" s="101">
        <v>8.44</v>
      </c>
      <c r="AB68" s="101">
        <v>9.8699999999999992</v>
      </c>
      <c r="AC68" s="100"/>
    </row>
    <row r="69" spans="1:43" x14ac:dyDescent="0.3">
      <c r="A69" s="179">
        <v>16</v>
      </c>
      <c r="B69" s="101">
        <v>3.46</v>
      </c>
      <c r="C69" s="101">
        <v>3.46</v>
      </c>
      <c r="D69" s="101">
        <v>3.46</v>
      </c>
      <c r="E69" s="100">
        <v>3.46</v>
      </c>
      <c r="F69" s="100">
        <v>3.8</v>
      </c>
      <c r="G69" s="100">
        <v>4.91</v>
      </c>
      <c r="H69" s="100">
        <v>3.8</v>
      </c>
      <c r="I69" s="101">
        <v>5.51</v>
      </c>
      <c r="J69" s="101">
        <v>7.38</v>
      </c>
      <c r="K69" s="100">
        <v>8.42</v>
      </c>
      <c r="L69" s="101">
        <v>9.7899999999999991</v>
      </c>
      <c r="M69" s="101">
        <v>10.48</v>
      </c>
      <c r="N69" s="100"/>
      <c r="P69" s="179">
        <v>16</v>
      </c>
      <c r="Q69" s="183">
        <v>3.73</v>
      </c>
      <c r="R69" s="101">
        <v>3.73</v>
      </c>
      <c r="S69" s="101">
        <v>3.73</v>
      </c>
      <c r="T69" s="183">
        <v>3.73</v>
      </c>
      <c r="U69" s="183">
        <v>4.13</v>
      </c>
      <c r="V69" s="101">
        <v>5.38</v>
      </c>
      <c r="W69" s="183">
        <v>4.13</v>
      </c>
      <c r="X69" s="101">
        <v>6.08</v>
      </c>
      <c r="Y69" s="100">
        <v>8.2100000000000009</v>
      </c>
      <c r="Z69" s="101">
        <v>9.4</v>
      </c>
      <c r="AA69" s="101">
        <v>10.98</v>
      </c>
      <c r="AB69" s="101">
        <v>11.77</v>
      </c>
      <c r="AC69" s="100"/>
    </row>
    <row r="70" spans="1:43" x14ac:dyDescent="0.3">
      <c r="A70" s="179">
        <v>18</v>
      </c>
      <c r="B70" s="101">
        <v>3.81</v>
      </c>
      <c r="C70" s="101">
        <v>3.81</v>
      </c>
      <c r="D70" s="101">
        <v>4.1900000000000004</v>
      </c>
      <c r="E70" s="100">
        <v>3.81</v>
      </c>
      <c r="F70" s="100">
        <v>4.8600000000000003</v>
      </c>
      <c r="G70" s="100">
        <v>5.41</v>
      </c>
      <c r="H70" s="100">
        <v>4.1900000000000004</v>
      </c>
      <c r="I70" s="101">
        <v>6.87</v>
      </c>
      <c r="J70" s="101">
        <v>9.2799999999999994</v>
      </c>
      <c r="K70" s="100">
        <v>10.039999999999999</v>
      </c>
      <c r="L70" s="101">
        <v>11.55</v>
      </c>
      <c r="M70" s="101">
        <v>13.26</v>
      </c>
      <c r="N70" s="100"/>
      <c r="P70" s="179">
        <v>18</v>
      </c>
      <c r="Q70" s="183">
        <v>4.13</v>
      </c>
      <c r="R70" s="101">
        <v>4.13</v>
      </c>
      <c r="S70" s="101">
        <v>4.5599999999999996</v>
      </c>
      <c r="T70" s="183">
        <v>4.13</v>
      </c>
      <c r="U70" s="183">
        <v>5.23</v>
      </c>
      <c r="V70" s="101">
        <v>5.95</v>
      </c>
      <c r="W70" s="183">
        <v>4.5599999999999996</v>
      </c>
      <c r="X70" s="101">
        <v>7.63</v>
      </c>
      <c r="Y70" s="100">
        <v>10.38</v>
      </c>
      <c r="Z70" s="101">
        <v>11.25</v>
      </c>
      <c r="AA70" s="101">
        <v>13</v>
      </c>
      <c r="AB70" s="101">
        <v>14.96</v>
      </c>
      <c r="AC70" s="100"/>
    </row>
    <row r="71" spans="1:43" x14ac:dyDescent="0.3">
      <c r="A71" s="179">
        <v>20</v>
      </c>
      <c r="B71" s="101">
        <v>4.17</v>
      </c>
      <c r="C71" s="101">
        <v>4.17</v>
      </c>
      <c r="D71" s="101">
        <v>4.58</v>
      </c>
      <c r="E71" s="100">
        <v>4.17</v>
      </c>
      <c r="F71" s="100">
        <v>5.32</v>
      </c>
      <c r="G71" s="100">
        <v>6.64</v>
      </c>
      <c r="H71" s="100">
        <v>4.58</v>
      </c>
      <c r="I71" s="101">
        <v>8.91</v>
      </c>
      <c r="J71" s="101">
        <v>10.98</v>
      </c>
      <c r="K71" s="100">
        <v>11.81</v>
      </c>
      <c r="L71" s="101">
        <v>13.47</v>
      </c>
      <c r="M71" s="101">
        <v>15.54</v>
      </c>
      <c r="N71" s="100"/>
      <c r="P71" s="179">
        <v>20</v>
      </c>
      <c r="Q71" s="183">
        <v>4.51</v>
      </c>
      <c r="R71" s="101">
        <v>4.51</v>
      </c>
      <c r="S71" s="101">
        <v>4.99</v>
      </c>
      <c r="T71" s="183">
        <v>4.51</v>
      </c>
      <c r="U71" s="183">
        <v>5.72</v>
      </c>
      <c r="V71" s="101">
        <v>7.34</v>
      </c>
      <c r="W71" s="183">
        <v>4.99</v>
      </c>
      <c r="X71" s="101">
        <v>9.91</v>
      </c>
      <c r="Y71" s="100">
        <v>12.29</v>
      </c>
      <c r="Z71" s="101">
        <v>13.24</v>
      </c>
      <c r="AA71" s="101">
        <v>15.14</v>
      </c>
      <c r="AB71" s="101">
        <v>17.52</v>
      </c>
      <c r="AC71" s="100"/>
    </row>
    <row r="72" spans="1:43" x14ac:dyDescent="0.3">
      <c r="A72" s="179">
        <v>24</v>
      </c>
      <c r="B72" s="101">
        <v>5.04</v>
      </c>
      <c r="C72" s="101">
        <v>5.04</v>
      </c>
      <c r="D72" s="101">
        <v>6.44</v>
      </c>
      <c r="E72" s="100">
        <v>5.04</v>
      </c>
      <c r="F72" s="100">
        <v>7.17</v>
      </c>
      <c r="G72" s="100">
        <v>9.1</v>
      </c>
      <c r="H72" s="100">
        <v>5.54</v>
      </c>
      <c r="I72" s="101">
        <v>12.31</v>
      </c>
      <c r="J72" s="101">
        <v>15.33</v>
      </c>
      <c r="K72" s="100">
        <v>17.59</v>
      </c>
      <c r="L72" s="101">
        <v>19.850000000000001</v>
      </c>
      <c r="M72" s="101">
        <v>20.85</v>
      </c>
      <c r="N72" s="100"/>
      <c r="P72" s="179">
        <v>24</v>
      </c>
      <c r="Q72" s="183">
        <v>5.35</v>
      </c>
      <c r="R72" s="101">
        <v>5.35</v>
      </c>
      <c r="S72" s="101">
        <v>6.8</v>
      </c>
      <c r="T72" s="183">
        <v>5.35</v>
      </c>
      <c r="U72" s="183">
        <v>7.74</v>
      </c>
      <c r="V72" s="101">
        <v>9.93</v>
      </c>
      <c r="W72" s="183">
        <v>5.92</v>
      </c>
      <c r="X72" s="101">
        <v>13.53</v>
      </c>
      <c r="Y72" s="100">
        <v>16.95</v>
      </c>
      <c r="Z72" s="101">
        <v>19.510000000000002</v>
      </c>
      <c r="AA72" s="101">
        <v>22.08</v>
      </c>
      <c r="AB72" s="101">
        <v>23.22</v>
      </c>
      <c r="AC72" s="100"/>
    </row>
    <row r="73" spans="1:43" x14ac:dyDescent="0.3">
      <c r="A73" s="179">
        <v>26</v>
      </c>
      <c r="B73" s="101"/>
      <c r="C73" s="101">
        <v>5.46</v>
      </c>
      <c r="D73" s="101">
        <v>6.98</v>
      </c>
      <c r="E73" s="100">
        <v>5.46</v>
      </c>
      <c r="F73" s="100">
        <v>7.77</v>
      </c>
      <c r="G73" s="100"/>
      <c r="H73" s="100">
        <v>6</v>
      </c>
      <c r="I73" s="100"/>
      <c r="J73" s="100"/>
      <c r="K73" s="100"/>
      <c r="L73" s="100"/>
      <c r="M73" s="100"/>
      <c r="N73" s="100"/>
      <c r="P73" s="179">
        <v>26</v>
      </c>
      <c r="Q73" s="183"/>
      <c r="R73" s="101">
        <v>6.03</v>
      </c>
      <c r="S73" s="101">
        <v>7.36</v>
      </c>
      <c r="T73" s="183">
        <v>5.79</v>
      </c>
      <c r="U73" s="183">
        <v>8.3800000000000008</v>
      </c>
      <c r="V73" s="100"/>
      <c r="W73" s="183">
        <v>6.41</v>
      </c>
      <c r="X73" s="101"/>
      <c r="Y73" s="100"/>
      <c r="Z73" s="100"/>
      <c r="AA73" s="100"/>
      <c r="AB73" s="100"/>
      <c r="AC73" s="100"/>
    </row>
    <row r="74" spans="1:43" x14ac:dyDescent="0.3">
      <c r="A74" s="179">
        <v>28</v>
      </c>
      <c r="B74" s="101">
        <v>5.88</v>
      </c>
      <c r="C74" s="101">
        <v>5.88</v>
      </c>
      <c r="D74" s="101">
        <v>7.51</v>
      </c>
      <c r="E74" s="100">
        <v>5.88</v>
      </c>
      <c r="F74" s="100">
        <v>8.36</v>
      </c>
      <c r="G74" s="100"/>
      <c r="H74" s="100">
        <v>6.47</v>
      </c>
      <c r="I74" s="100"/>
      <c r="J74" s="100"/>
      <c r="K74" s="100"/>
      <c r="L74" s="100"/>
      <c r="M74" s="100"/>
      <c r="N74" s="100"/>
      <c r="P74" s="179">
        <v>28</v>
      </c>
      <c r="Q74" s="183">
        <v>6.71</v>
      </c>
      <c r="R74" s="101">
        <v>6.71</v>
      </c>
      <c r="S74" s="101">
        <v>7.93</v>
      </c>
      <c r="T74" s="183">
        <v>6.24</v>
      </c>
      <c r="U74" s="183">
        <v>9.02</v>
      </c>
      <c r="V74" s="100"/>
      <c r="W74" s="183">
        <v>6.9</v>
      </c>
      <c r="X74" s="101"/>
      <c r="Y74" s="100"/>
      <c r="Z74" s="100"/>
      <c r="AA74" s="100"/>
      <c r="AB74" s="100"/>
      <c r="AC74" s="100"/>
    </row>
    <row r="75" spans="1:43" x14ac:dyDescent="0.3">
      <c r="A75" s="179">
        <v>30</v>
      </c>
      <c r="B75" s="101">
        <v>6.89</v>
      </c>
      <c r="C75" s="101">
        <v>6.89</v>
      </c>
      <c r="D75" s="101">
        <v>8.01</v>
      </c>
      <c r="E75" s="100">
        <v>6.26</v>
      </c>
      <c r="F75" s="100">
        <v>8.92</v>
      </c>
      <c r="G75" s="100"/>
      <c r="H75" s="100">
        <v>6.89</v>
      </c>
      <c r="I75" s="100"/>
      <c r="J75" s="100"/>
      <c r="K75" s="100"/>
      <c r="L75" s="100"/>
      <c r="M75" s="100"/>
      <c r="N75" s="100"/>
      <c r="P75" s="179">
        <v>30</v>
      </c>
      <c r="Q75" s="183">
        <v>7.39</v>
      </c>
      <c r="R75" s="101">
        <v>7.39</v>
      </c>
      <c r="S75" s="101">
        <v>8.49</v>
      </c>
      <c r="T75" s="183">
        <v>6.68</v>
      </c>
      <c r="U75" s="183">
        <v>9.67</v>
      </c>
      <c r="V75" s="100"/>
      <c r="W75" s="183">
        <v>7.39</v>
      </c>
      <c r="X75" s="101"/>
      <c r="Y75" s="100"/>
      <c r="Z75" s="100"/>
      <c r="AA75" s="100"/>
      <c r="AB75" s="100"/>
      <c r="AC75" s="100"/>
    </row>
    <row r="76" spans="1:43" x14ac:dyDescent="0.3">
      <c r="A76" s="179">
        <v>32</v>
      </c>
      <c r="B76" s="101">
        <v>7.35</v>
      </c>
      <c r="C76" s="101">
        <v>7.35</v>
      </c>
      <c r="D76" s="101">
        <v>8.5500000000000007</v>
      </c>
      <c r="E76" s="100">
        <v>6.68</v>
      </c>
      <c r="F76" s="100">
        <v>9.52</v>
      </c>
      <c r="G76" s="100"/>
      <c r="H76" s="100">
        <v>7.35</v>
      </c>
      <c r="I76" s="100"/>
      <c r="J76" s="100"/>
      <c r="K76" s="100"/>
      <c r="L76" s="100"/>
      <c r="M76" s="100"/>
      <c r="N76" s="100"/>
      <c r="P76" s="179">
        <v>32</v>
      </c>
      <c r="Q76" s="183">
        <v>7.88</v>
      </c>
      <c r="R76" s="101">
        <v>7.88</v>
      </c>
      <c r="S76" s="101">
        <v>9.0500000000000007</v>
      </c>
      <c r="T76" s="183">
        <v>7.12</v>
      </c>
      <c r="U76" s="183">
        <v>10.31</v>
      </c>
      <c r="V76" s="100"/>
      <c r="W76" s="183">
        <v>7.88</v>
      </c>
      <c r="X76" s="101"/>
      <c r="Y76" s="100"/>
      <c r="Z76" s="100"/>
      <c r="AA76" s="100"/>
      <c r="AB76" s="100"/>
      <c r="AC76" s="100"/>
    </row>
    <row r="77" spans="1:43" x14ac:dyDescent="0.3">
      <c r="A77" s="179">
        <v>36</v>
      </c>
      <c r="B77" s="100"/>
      <c r="C77" s="101">
        <v>8.24</v>
      </c>
      <c r="D77" s="101">
        <v>9.6</v>
      </c>
      <c r="E77" s="100">
        <v>7.5</v>
      </c>
      <c r="F77" s="100">
        <v>10.68</v>
      </c>
      <c r="G77" s="100"/>
      <c r="H77" s="100">
        <v>8.24</v>
      </c>
      <c r="I77" s="100"/>
      <c r="J77" s="100"/>
      <c r="K77" s="100"/>
      <c r="L77" s="100"/>
      <c r="M77" s="100"/>
      <c r="N77" s="100"/>
      <c r="P77" s="179">
        <v>36</v>
      </c>
      <c r="Q77" s="100"/>
      <c r="R77" s="101">
        <v>8.86</v>
      </c>
      <c r="S77" s="101">
        <v>10.18</v>
      </c>
      <c r="T77" s="183">
        <v>8.01</v>
      </c>
      <c r="U77" s="183">
        <v>11.59</v>
      </c>
      <c r="V77" s="100"/>
      <c r="W77" s="183">
        <v>8.86</v>
      </c>
      <c r="X77" s="101"/>
      <c r="Y77" s="100"/>
      <c r="Z77" s="100"/>
      <c r="AA77" s="100"/>
      <c r="AB77" s="100"/>
      <c r="AC77" s="100"/>
    </row>
    <row r="78" spans="1:43" x14ac:dyDescent="0.3">
      <c r="A78" s="179">
        <v>42</v>
      </c>
      <c r="B78" s="100"/>
      <c r="C78" s="100"/>
      <c r="D78" s="100"/>
      <c r="E78" s="100">
        <v>8.7200000000000006</v>
      </c>
      <c r="F78" s="100"/>
      <c r="G78" s="100"/>
      <c r="H78" s="100"/>
      <c r="I78" s="100"/>
      <c r="J78" s="100"/>
      <c r="K78" s="100"/>
      <c r="L78" s="100"/>
      <c r="M78" s="100"/>
      <c r="N78" s="100"/>
      <c r="P78" s="179">
        <v>42</v>
      </c>
      <c r="Q78" s="100"/>
      <c r="R78" s="100"/>
      <c r="S78" s="100"/>
      <c r="T78" s="183">
        <v>9.34</v>
      </c>
      <c r="U78" s="100"/>
      <c r="V78" s="100"/>
      <c r="W78" s="100"/>
      <c r="X78" s="100"/>
      <c r="Y78" s="100"/>
      <c r="Z78" s="100"/>
      <c r="AA78" s="100"/>
      <c r="AB78" s="100"/>
      <c r="AC78" s="100"/>
    </row>
    <row r="79" spans="1:43" x14ac:dyDescent="0.3">
      <c r="A79" s="179">
        <v>48</v>
      </c>
      <c r="B79" s="100"/>
      <c r="C79" s="100"/>
      <c r="D79" s="100"/>
      <c r="E79" s="100">
        <v>9.9499999999999993</v>
      </c>
      <c r="F79" s="100"/>
      <c r="G79" s="100"/>
      <c r="H79" s="100"/>
      <c r="I79" s="100"/>
      <c r="J79" s="100"/>
      <c r="K79" s="100"/>
      <c r="L79" s="100"/>
      <c r="M79" s="100"/>
      <c r="N79" s="100"/>
      <c r="P79" s="179">
        <v>48</v>
      </c>
      <c r="Q79" s="100"/>
      <c r="R79" s="100"/>
      <c r="S79" s="100"/>
      <c r="T79" s="183">
        <v>10.66</v>
      </c>
      <c r="U79" s="100"/>
      <c r="V79" s="100"/>
      <c r="W79" s="100"/>
      <c r="X79" s="100"/>
      <c r="Y79" s="100"/>
      <c r="Z79" s="100"/>
      <c r="AA79" s="100"/>
      <c r="AB79" s="100"/>
      <c r="AC79" s="100"/>
    </row>
    <row r="80" spans="1:43" ht="25.2" x14ac:dyDescent="0.3">
      <c r="A80" s="83"/>
      <c r="B80" s="84"/>
      <c r="C80" s="84"/>
      <c r="D80" s="84"/>
      <c r="E80" s="84"/>
      <c r="F80" s="84"/>
      <c r="G80" s="84"/>
      <c r="H80" s="84"/>
      <c r="I80" s="84"/>
      <c r="J80" s="84"/>
      <c r="K80" s="84"/>
      <c r="L80" s="84"/>
      <c r="M80" s="84"/>
      <c r="N80" s="84"/>
      <c r="P80" s="83"/>
      <c r="Q80" s="84"/>
      <c r="R80" s="84"/>
      <c r="S80" s="84"/>
      <c r="T80" s="84"/>
      <c r="U80" s="84"/>
      <c r="V80" s="84"/>
      <c r="W80" s="84"/>
      <c r="X80" s="84"/>
      <c r="Y80" s="84"/>
      <c r="Z80" s="84"/>
      <c r="AA80" s="84"/>
      <c r="AB80" s="84"/>
      <c r="AC80" s="84"/>
      <c r="AE80" s="85" t="s">
        <v>734</v>
      </c>
      <c r="AF80" s="190" t="s">
        <v>735</v>
      </c>
      <c r="AG80" s="190" t="s">
        <v>736</v>
      </c>
      <c r="AH80" s="86" t="s">
        <v>737</v>
      </c>
      <c r="AI80" s="190" t="s">
        <v>735</v>
      </c>
      <c r="AJ80" s="190" t="s">
        <v>736</v>
      </c>
      <c r="AK80" s="190" t="s">
        <v>738</v>
      </c>
      <c r="AL80" s="86" t="s">
        <v>739</v>
      </c>
      <c r="AM80" s="190" t="s">
        <v>740</v>
      </c>
      <c r="AN80" s="190" t="s">
        <v>741</v>
      </c>
      <c r="AO80" s="192" t="s">
        <v>742</v>
      </c>
      <c r="AP80" s="86" t="s">
        <v>737</v>
      </c>
      <c r="AQ80" s="194" t="s">
        <v>743</v>
      </c>
    </row>
    <row r="81" spans="1:44" ht="21.6" x14ac:dyDescent="0.3">
      <c r="A81" s="85" t="s">
        <v>744</v>
      </c>
      <c r="B81" s="100" t="s">
        <v>704</v>
      </c>
      <c r="C81" s="100" t="s">
        <v>705</v>
      </c>
      <c r="D81" s="100" t="s">
        <v>706</v>
      </c>
      <c r="E81" s="100" t="s">
        <v>707</v>
      </c>
      <c r="F81" s="100" t="s">
        <v>708</v>
      </c>
      <c r="G81" s="100" t="s">
        <v>709</v>
      </c>
      <c r="H81" s="100" t="s">
        <v>710</v>
      </c>
      <c r="I81" s="100" t="s">
        <v>711</v>
      </c>
      <c r="J81" s="100" t="s">
        <v>712</v>
      </c>
      <c r="K81" s="100" t="s">
        <v>713</v>
      </c>
      <c r="L81" s="100" t="s">
        <v>714</v>
      </c>
      <c r="M81" s="100" t="s">
        <v>715</v>
      </c>
      <c r="N81" s="100" t="s">
        <v>716</v>
      </c>
      <c r="O81" s="186"/>
      <c r="P81" s="86" t="s">
        <v>745</v>
      </c>
      <c r="Q81" s="183" t="s">
        <v>704</v>
      </c>
      <c r="R81" s="183" t="s">
        <v>705</v>
      </c>
      <c r="S81" s="183" t="s">
        <v>706</v>
      </c>
      <c r="T81" s="183" t="s">
        <v>707</v>
      </c>
      <c r="U81" s="183" t="s">
        <v>708</v>
      </c>
      <c r="V81" s="183" t="s">
        <v>709</v>
      </c>
      <c r="W81" s="183" t="s">
        <v>710</v>
      </c>
      <c r="X81" s="183" t="s">
        <v>711</v>
      </c>
      <c r="Y81" s="183" t="s">
        <v>712</v>
      </c>
      <c r="Z81" s="183" t="s">
        <v>713</v>
      </c>
      <c r="AA81" s="183" t="s">
        <v>714</v>
      </c>
      <c r="AB81" s="183" t="s">
        <v>715</v>
      </c>
      <c r="AC81" s="183" t="s">
        <v>716</v>
      </c>
      <c r="AE81" s="179" t="s">
        <v>718</v>
      </c>
      <c r="AF81" s="170">
        <v>0.57999999999999996</v>
      </c>
      <c r="AG81" s="170">
        <v>0.67</v>
      </c>
      <c r="AH81" s="179" t="s">
        <v>718</v>
      </c>
      <c r="AI81" s="170">
        <v>0.22</v>
      </c>
      <c r="AJ81" s="170">
        <v>0.37</v>
      </c>
      <c r="AK81" s="170">
        <v>1.22</v>
      </c>
      <c r="AL81" s="191" t="s">
        <v>746</v>
      </c>
      <c r="AM81" s="170">
        <v>0.49</v>
      </c>
      <c r="AN81" s="170">
        <v>0.53</v>
      </c>
      <c r="AO81" s="193">
        <v>0.59</v>
      </c>
      <c r="AP81" s="179" t="s">
        <v>718</v>
      </c>
      <c r="AQ81" s="193">
        <v>0.52</v>
      </c>
      <c r="AR81" s="180"/>
    </row>
    <row r="82" spans="1:44" x14ac:dyDescent="0.3">
      <c r="A82" s="179" t="s">
        <v>718</v>
      </c>
      <c r="B82" s="101">
        <v>0.2</v>
      </c>
      <c r="C82" s="100"/>
      <c r="D82" s="100"/>
      <c r="E82" s="100">
        <v>0.2</v>
      </c>
      <c r="F82" s="100">
        <v>0.2</v>
      </c>
      <c r="G82" s="100"/>
      <c r="H82" s="100">
        <v>0.2</v>
      </c>
      <c r="I82" s="101">
        <v>0.2</v>
      </c>
      <c r="J82" s="101"/>
      <c r="K82" s="100"/>
      <c r="L82" s="101"/>
      <c r="M82" s="101">
        <v>0.2</v>
      </c>
      <c r="N82" s="101">
        <v>0.2</v>
      </c>
      <c r="P82" s="179" t="s">
        <v>718</v>
      </c>
      <c r="Q82" s="183">
        <v>0.21</v>
      </c>
      <c r="R82" s="100"/>
      <c r="S82" s="100"/>
      <c r="T82" s="183">
        <v>0.21</v>
      </c>
      <c r="U82" s="183">
        <v>0.21</v>
      </c>
      <c r="V82" s="100"/>
      <c r="W82" s="183">
        <v>0.21</v>
      </c>
      <c r="X82" s="101">
        <v>0.21</v>
      </c>
      <c r="Y82" s="100"/>
      <c r="Z82" s="100"/>
      <c r="AA82" s="100"/>
      <c r="AB82" s="101">
        <v>0.21</v>
      </c>
      <c r="AC82" s="101">
        <v>0.21</v>
      </c>
      <c r="AE82" s="179" t="s">
        <v>719</v>
      </c>
      <c r="AF82" s="170">
        <v>0.65</v>
      </c>
      <c r="AG82" s="170">
        <v>0.83</v>
      </c>
      <c r="AH82" s="179" t="s">
        <v>719</v>
      </c>
      <c r="AI82" s="170">
        <v>0.34</v>
      </c>
      <c r="AJ82" s="170">
        <v>0.56000000000000005</v>
      </c>
      <c r="AK82" s="170">
        <v>1.42</v>
      </c>
      <c r="AL82" s="191" t="s">
        <v>747</v>
      </c>
      <c r="AM82" s="170">
        <v>0.54</v>
      </c>
      <c r="AN82" s="170">
        <v>0.57999999999999996</v>
      </c>
      <c r="AO82" s="193">
        <v>0.65</v>
      </c>
      <c r="AP82" s="179" t="s">
        <v>719</v>
      </c>
      <c r="AQ82" s="193">
        <v>0.52</v>
      </c>
      <c r="AR82" s="180"/>
    </row>
    <row r="83" spans="1:44" x14ac:dyDescent="0.3">
      <c r="A83" s="179" t="s">
        <v>719</v>
      </c>
      <c r="B83" s="101">
        <v>0.25</v>
      </c>
      <c r="C83" s="100"/>
      <c r="D83" s="100"/>
      <c r="E83" s="100">
        <v>0.25</v>
      </c>
      <c r="F83" s="100">
        <v>0.25</v>
      </c>
      <c r="G83" s="100"/>
      <c r="H83" s="100">
        <v>0.25</v>
      </c>
      <c r="I83" s="101">
        <v>0.25</v>
      </c>
      <c r="J83" s="101"/>
      <c r="K83" s="100"/>
      <c r="L83" s="101"/>
      <c r="M83" s="101">
        <v>0.25</v>
      </c>
      <c r="N83" s="101">
        <v>0.25</v>
      </c>
      <c r="P83" s="179" t="s">
        <v>719</v>
      </c>
      <c r="Q83" s="183">
        <v>0.26</v>
      </c>
      <c r="R83" s="100"/>
      <c r="S83" s="100"/>
      <c r="T83" s="183">
        <v>0.26</v>
      </c>
      <c r="U83" s="183">
        <v>0.26</v>
      </c>
      <c r="V83" s="100"/>
      <c r="W83" s="183">
        <v>0.26</v>
      </c>
      <c r="X83" s="101">
        <v>0.26</v>
      </c>
      <c r="Y83" s="100"/>
      <c r="Z83" s="100"/>
      <c r="AA83" s="100"/>
      <c r="AB83" s="101">
        <v>0.26</v>
      </c>
      <c r="AC83" s="101">
        <v>0.26</v>
      </c>
      <c r="AE83" s="179">
        <v>1</v>
      </c>
      <c r="AF83" s="170">
        <v>0.76</v>
      </c>
      <c r="AG83" s="170">
        <v>0.97</v>
      </c>
      <c r="AH83" s="179">
        <v>1</v>
      </c>
      <c r="AI83" s="170">
        <v>0.45</v>
      </c>
      <c r="AJ83" s="170">
        <v>0.75</v>
      </c>
      <c r="AK83" s="170">
        <v>1.62</v>
      </c>
      <c r="AP83" s="179">
        <v>1</v>
      </c>
      <c r="AQ83" s="193">
        <v>0.52</v>
      </c>
      <c r="AR83" s="180"/>
    </row>
    <row r="84" spans="1:44" x14ac:dyDescent="0.3">
      <c r="A84" s="179">
        <v>1</v>
      </c>
      <c r="B84" s="101">
        <v>0.33</v>
      </c>
      <c r="C84" s="100"/>
      <c r="D84" s="100"/>
      <c r="E84" s="100">
        <v>0.33</v>
      </c>
      <c r="F84" s="100">
        <v>0.33</v>
      </c>
      <c r="G84" s="100"/>
      <c r="H84" s="100">
        <v>0.33</v>
      </c>
      <c r="I84" s="101">
        <v>0.33</v>
      </c>
      <c r="J84" s="101"/>
      <c r="K84" s="100"/>
      <c r="L84" s="101"/>
      <c r="M84" s="101">
        <v>0.33</v>
      </c>
      <c r="N84" s="101">
        <v>0.33</v>
      </c>
      <c r="P84" s="179">
        <v>1</v>
      </c>
      <c r="Q84" s="183">
        <v>0.35</v>
      </c>
      <c r="R84" s="100"/>
      <c r="S84" s="100"/>
      <c r="T84" s="183">
        <v>0.32</v>
      </c>
      <c r="U84" s="183">
        <v>0.32</v>
      </c>
      <c r="V84" s="100"/>
      <c r="W84" s="183">
        <v>0.32</v>
      </c>
      <c r="X84" s="101">
        <v>0.32</v>
      </c>
      <c r="Y84" s="100"/>
      <c r="Z84" s="100"/>
      <c r="AA84" s="100"/>
      <c r="AB84" s="101">
        <v>0.32</v>
      </c>
      <c r="AC84" s="101">
        <v>0.32</v>
      </c>
      <c r="AE84" s="179" t="s">
        <v>720</v>
      </c>
      <c r="AF84" s="170">
        <v>0.94</v>
      </c>
      <c r="AG84" s="170">
        <v>1.19</v>
      </c>
      <c r="AH84" s="179" t="s">
        <v>720</v>
      </c>
      <c r="AI84" s="170">
        <v>0.6</v>
      </c>
      <c r="AJ84" s="170">
        <v>0.94</v>
      </c>
      <c r="AK84" s="170">
        <v>1.9</v>
      </c>
      <c r="AP84" s="179" t="s">
        <v>720</v>
      </c>
      <c r="AQ84" s="193">
        <v>0.52</v>
      </c>
      <c r="AR84" s="180"/>
    </row>
    <row r="85" spans="1:44" x14ac:dyDescent="0.3">
      <c r="A85" s="179" t="s">
        <v>720</v>
      </c>
      <c r="B85" s="101">
        <v>0.41</v>
      </c>
      <c r="C85" s="100"/>
      <c r="D85" s="100"/>
      <c r="E85" s="100">
        <v>0.41</v>
      </c>
      <c r="F85" s="100">
        <v>0.41</v>
      </c>
      <c r="G85" s="100"/>
      <c r="H85" s="100">
        <v>0.41</v>
      </c>
      <c r="I85" s="101">
        <v>0.41</v>
      </c>
      <c r="J85" s="101"/>
      <c r="K85" s="100"/>
      <c r="L85" s="101"/>
      <c r="M85" s="101">
        <v>0.41</v>
      </c>
      <c r="N85" s="101">
        <v>0.41</v>
      </c>
      <c r="P85" s="179" t="s">
        <v>720</v>
      </c>
      <c r="Q85" s="183">
        <v>0.5</v>
      </c>
      <c r="R85" s="100"/>
      <c r="S85" s="100"/>
      <c r="T85" s="183">
        <v>0.5</v>
      </c>
      <c r="U85" s="183">
        <v>0.5</v>
      </c>
      <c r="V85" s="100"/>
      <c r="W85" s="183">
        <v>0.5</v>
      </c>
      <c r="X85" s="101">
        <v>0.5</v>
      </c>
      <c r="Y85" s="100"/>
      <c r="Z85" s="100"/>
      <c r="AA85" s="100"/>
      <c r="AB85" s="101">
        <v>0.5</v>
      </c>
      <c r="AC85" s="101">
        <v>0.5</v>
      </c>
      <c r="AE85" s="179">
        <v>2</v>
      </c>
      <c r="AF85" s="170">
        <v>1.1200000000000001</v>
      </c>
      <c r="AG85" s="170">
        <v>1.33</v>
      </c>
      <c r="AH85" s="179">
        <v>2</v>
      </c>
      <c r="AI85" s="170">
        <v>0.75</v>
      </c>
      <c r="AJ85" s="170">
        <v>1.1200000000000001</v>
      </c>
      <c r="AK85" s="170">
        <v>2.8</v>
      </c>
      <c r="AP85" s="179">
        <v>2</v>
      </c>
      <c r="AQ85" s="193">
        <v>0.52</v>
      </c>
      <c r="AR85" s="180"/>
    </row>
    <row r="86" spans="1:44" x14ac:dyDescent="0.3">
      <c r="A86" s="179">
        <v>2</v>
      </c>
      <c r="B86" s="101">
        <v>0.52</v>
      </c>
      <c r="C86" s="100"/>
      <c r="D86" s="100"/>
      <c r="E86" s="100">
        <v>0.52</v>
      </c>
      <c r="F86" s="100">
        <v>0.52</v>
      </c>
      <c r="G86" s="100"/>
      <c r="H86" s="100">
        <v>0.52</v>
      </c>
      <c r="I86" s="101">
        <v>0.52</v>
      </c>
      <c r="J86" s="101"/>
      <c r="K86" s="100"/>
      <c r="L86" s="101"/>
      <c r="M86" s="101">
        <v>0.52</v>
      </c>
      <c r="N86" s="101">
        <v>0.52</v>
      </c>
      <c r="P86" s="179">
        <v>2</v>
      </c>
      <c r="Q86" s="183">
        <v>0.64</v>
      </c>
      <c r="R86" s="100"/>
      <c r="S86" s="100"/>
      <c r="T86" s="183">
        <v>0.64</v>
      </c>
      <c r="U86" s="183">
        <v>0.64</v>
      </c>
      <c r="V86" s="100"/>
      <c r="W86" s="183">
        <v>0.64</v>
      </c>
      <c r="X86" s="101">
        <v>0.64</v>
      </c>
      <c r="Y86" s="100"/>
      <c r="Z86" s="100"/>
      <c r="AA86" s="100"/>
      <c r="AB86" s="101">
        <v>0.64</v>
      </c>
      <c r="AC86" s="101">
        <v>0.64</v>
      </c>
      <c r="AE86" s="179" t="s">
        <v>721</v>
      </c>
      <c r="AF86" s="170">
        <v>1.3</v>
      </c>
      <c r="AG86" s="170">
        <v>1.62</v>
      </c>
      <c r="AH86" s="179" t="s">
        <v>721</v>
      </c>
      <c r="AI86" s="170">
        <v>0.82</v>
      </c>
      <c r="AJ86" s="170">
        <v>1.22</v>
      </c>
      <c r="AK86" s="170">
        <v>3.44</v>
      </c>
      <c r="AP86" s="179" t="s">
        <v>721</v>
      </c>
      <c r="AQ86" s="193">
        <v>0.55000000000000004</v>
      </c>
      <c r="AR86" s="180"/>
    </row>
    <row r="87" spans="1:44" x14ac:dyDescent="0.3">
      <c r="A87" s="179" t="s">
        <v>721</v>
      </c>
      <c r="B87" s="101">
        <v>0.57999999999999996</v>
      </c>
      <c r="C87" s="100"/>
      <c r="D87" s="100"/>
      <c r="E87" s="100">
        <v>0.57999999999999996</v>
      </c>
      <c r="F87" s="100">
        <v>0.57999999999999996</v>
      </c>
      <c r="G87" s="100"/>
      <c r="H87" s="100">
        <v>0.57999999999999996</v>
      </c>
      <c r="I87" s="101">
        <v>0.57999999999999996</v>
      </c>
      <c r="J87" s="101"/>
      <c r="K87" s="100"/>
      <c r="L87" s="101"/>
      <c r="M87" s="101">
        <v>0.57999999999999996</v>
      </c>
      <c r="N87" s="101">
        <v>0.63</v>
      </c>
      <c r="P87" s="179" t="s">
        <v>721</v>
      </c>
      <c r="Q87" s="183">
        <v>0.72</v>
      </c>
      <c r="R87" s="100"/>
      <c r="S87" s="100"/>
      <c r="T87" s="183">
        <v>0.72</v>
      </c>
      <c r="U87" s="183">
        <v>0.72</v>
      </c>
      <c r="V87" s="100"/>
      <c r="W87" s="183">
        <v>0.72</v>
      </c>
      <c r="X87" s="101">
        <v>0.72</v>
      </c>
      <c r="Y87" s="100"/>
      <c r="Z87" s="100"/>
      <c r="AA87" s="100"/>
      <c r="AB87" s="101">
        <v>0.72</v>
      </c>
      <c r="AC87" s="101">
        <v>0.78</v>
      </c>
      <c r="AE87" s="179">
        <v>3</v>
      </c>
      <c r="AF87" s="170">
        <v>1.48</v>
      </c>
      <c r="AG87" s="170">
        <v>1.91</v>
      </c>
      <c r="AH87" s="179">
        <v>3</v>
      </c>
      <c r="AI87" s="170">
        <v>0.9</v>
      </c>
      <c r="AJ87" s="170">
        <v>1.31</v>
      </c>
      <c r="AK87" s="170">
        <v>4.38</v>
      </c>
      <c r="AP87" s="179">
        <v>3</v>
      </c>
      <c r="AQ87" s="193">
        <v>0.55000000000000004</v>
      </c>
      <c r="AR87" s="180"/>
    </row>
    <row r="88" spans="1:44" x14ac:dyDescent="0.3">
      <c r="A88" s="179">
        <v>3</v>
      </c>
      <c r="B88" s="101">
        <v>0.64</v>
      </c>
      <c r="C88" s="100"/>
      <c r="D88" s="100"/>
      <c r="E88" s="100">
        <v>0.64</v>
      </c>
      <c r="F88" s="100">
        <v>0.64</v>
      </c>
      <c r="G88" s="100"/>
      <c r="H88" s="100">
        <v>0.64</v>
      </c>
      <c r="I88" s="101">
        <v>0.64</v>
      </c>
      <c r="J88" s="101"/>
      <c r="K88" s="100"/>
      <c r="L88" s="101"/>
      <c r="M88" s="101">
        <v>0.64</v>
      </c>
      <c r="N88" s="101">
        <v>0.69</v>
      </c>
      <c r="P88" s="179">
        <v>3</v>
      </c>
      <c r="Q88" s="183">
        <v>0.78</v>
      </c>
      <c r="R88" s="100"/>
      <c r="S88" s="100"/>
      <c r="T88" s="183">
        <v>0.78</v>
      </c>
      <c r="U88" s="183">
        <v>0.78</v>
      </c>
      <c r="V88" s="100"/>
      <c r="W88" s="183">
        <v>0.78</v>
      </c>
      <c r="X88" s="101">
        <v>0.78</v>
      </c>
      <c r="Y88" s="100"/>
      <c r="Z88" s="100"/>
      <c r="AA88" s="100"/>
      <c r="AB88" s="101">
        <v>0.78</v>
      </c>
      <c r="AC88" s="101">
        <v>0.85</v>
      </c>
      <c r="AE88" s="179">
        <v>4</v>
      </c>
      <c r="AF88" s="170">
        <v>1.76</v>
      </c>
      <c r="AG88" s="170">
        <v>2.23</v>
      </c>
      <c r="AH88" s="179">
        <v>4</v>
      </c>
      <c r="AI88" s="170">
        <v>1.05</v>
      </c>
      <c r="AJ88" s="170">
        <v>1.5</v>
      </c>
      <c r="AK88" s="170">
        <v>5.5</v>
      </c>
      <c r="AP88" s="179">
        <v>4</v>
      </c>
      <c r="AQ88" s="193">
        <v>0.55000000000000004</v>
      </c>
      <c r="AR88" s="180"/>
    </row>
    <row r="89" spans="1:44" x14ac:dyDescent="0.3">
      <c r="A89" s="179">
        <v>4</v>
      </c>
      <c r="B89" s="101">
        <v>0.75</v>
      </c>
      <c r="C89" s="100"/>
      <c r="D89" s="100"/>
      <c r="E89" s="100">
        <v>0.75</v>
      </c>
      <c r="F89" s="100">
        <v>0.75</v>
      </c>
      <c r="G89" s="100"/>
      <c r="H89" s="100">
        <v>0.75</v>
      </c>
      <c r="I89" s="101">
        <v>0.75</v>
      </c>
      <c r="J89" s="101"/>
      <c r="K89" s="100">
        <v>0.75</v>
      </c>
      <c r="L89" s="101"/>
      <c r="M89" s="101">
        <v>0.82</v>
      </c>
      <c r="N89" s="101">
        <v>0.82</v>
      </c>
      <c r="P89" s="179">
        <v>4</v>
      </c>
      <c r="Q89" s="183">
        <v>0.93</v>
      </c>
      <c r="R89" s="100"/>
      <c r="S89" s="100"/>
      <c r="T89" s="183">
        <v>0.93</v>
      </c>
      <c r="U89" s="183">
        <v>0.93</v>
      </c>
      <c r="V89" s="100"/>
      <c r="W89" s="183">
        <v>0.93</v>
      </c>
      <c r="X89" s="101">
        <v>0.93</v>
      </c>
      <c r="Y89" s="100"/>
      <c r="Z89" s="101">
        <v>0.93</v>
      </c>
      <c r="AA89" s="100"/>
      <c r="AB89" s="101">
        <v>1.01</v>
      </c>
      <c r="AC89" s="101">
        <v>1.01</v>
      </c>
      <c r="AE89" s="179">
        <v>6</v>
      </c>
      <c r="AF89" s="170">
        <v>2.2000000000000002</v>
      </c>
      <c r="AG89" s="170">
        <v>2.81</v>
      </c>
      <c r="AH89" s="179">
        <v>6</v>
      </c>
      <c r="AI89" s="170">
        <v>1.31</v>
      </c>
      <c r="AJ89" s="170">
        <v>1.91</v>
      </c>
      <c r="AK89" s="170">
        <v>6.42</v>
      </c>
      <c r="AP89" s="179">
        <v>6</v>
      </c>
      <c r="AQ89" s="193">
        <v>0.55000000000000004</v>
      </c>
      <c r="AR89" s="180"/>
    </row>
    <row r="90" spans="1:44" x14ac:dyDescent="0.3">
      <c r="A90" s="179">
        <v>6</v>
      </c>
      <c r="B90" s="101">
        <v>0.98</v>
      </c>
      <c r="C90" s="100"/>
      <c r="D90" s="100"/>
      <c r="E90" s="100">
        <v>0.98</v>
      </c>
      <c r="F90" s="100">
        <v>0.98</v>
      </c>
      <c r="G90" s="100"/>
      <c r="H90" s="100">
        <v>0.98</v>
      </c>
      <c r="I90" s="101">
        <v>0.98</v>
      </c>
      <c r="J90" s="100"/>
      <c r="K90" s="100">
        <v>1.07</v>
      </c>
      <c r="L90" s="100"/>
      <c r="M90" s="101">
        <v>1.07</v>
      </c>
      <c r="N90" s="101">
        <v>1.07</v>
      </c>
      <c r="P90" s="179">
        <v>6</v>
      </c>
      <c r="Q90" s="183">
        <v>1.23</v>
      </c>
      <c r="R90" s="100"/>
      <c r="S90" s="100"/>
      <c r="T90" s="183">
        <v>1.23</v>
      </c>
      <c r="U90" s="183">
        <v>1.23</v>
      </c>
      <c r="V90" s="100"/>
      <c r="W90" s="183">
        <v>1.23</v>
      </c>
      <c r="X90" s="101">
        <v>1.23</v>
      </c>
      <c r="Y90" s="101"/>
      <c r="Z90" s="101">
        <v>1.33</v>
      </c>
      <c r="AA90" s="100"/>
      <c r="AB90" s="101">
        <v>1.33</v>
      </c>
      <c r="AC90" s="101">
        <v>1.33</v>
      </c>
      <c r="AE90" s="179">
        <v>8</v>
      </c>
      <c r="AF90" s="170">
        <v>2.59</v>
      </c>
      <c r="AG90" s="170">
        <v>3.24</v>
      </c>
      <c r="AH90" s="179">
        <v>8</v>
      </c>
      <c r="AI90" s="170">
        <v>1.57</v>
      </c>
      <c r="AJ90" s="170">
        <v>2.3199999999999998</v>
      </c>
      <c r="AK90" s="170">
        <v>7.36</v>
      </c>
      <c r="AP90" s="179">
        <v>8</v>
      </c>
      <c r="AQ90" s="193">
        <v>0.57999999999999996</v>
      </c>
      <c r="AR90" s="180"/>
    </row>
    <row r="91" spans="1:44" x14ac:dyDescent="0.3">
      <c r="A91" s="179">
        <v>8</v>
      </c>
      <c r="B91" s="101">
        <v>1.22</v>
      </c>
      <c r="C91" s="101">
        <v>1.22</v>
      </c>
      <c r="D91" s="101">
        <v>1.22</v>
      </c>
      <c r="E91" s="100">
        <v>1.22</v>
      </c>
      <c r="F91" s="100">
        <v>1.22</v>
      </c>
      <c r="G91" s="100">
        <v>1.22</v>
      </c>
      <c r="H91" s="100">
        <v>1.22</v>
      </c>
      <c r="I91" s="101">
        <v>1.22</v>
      </c>
      <c r="J91" s="101">
        <v>1.32</v>
      </c>
      <c r="K91" s="100">
        <v>1.32</v>
      </c>
      <c r="L91" s="101">
        <v>1.32</v>
      </c>
      <c r="M91" s="101">
        <v>1.32</v>
      </c>
      <c r="N91" s="101">
        <v>1.32</v>
      </c>
      <c r="P91" s="179">
        <v>8</v>
      </c>
      <c r="Q91" s="183">
        <v>1.5</v>
      </c>
      <c r="R91" s="101">
        <v>1.5</v>
      </c>
      <c r="S91" s="101">
        <v>1.5</v>
      </c>
      <c r="T91" s="183">
        <v>1.5</v>
      </c>
      <c r="U91" s="183">
        <v>1.5</v>
      </c>
      <c r="V91" s="101">
        <v>1.5</v>
      </c>
      <c r="W91" s="183">
        <v>1.5</v>
      </c>
      <c r="X91" s="101">
        <v>1.5</v>
      </c>
      <c r="Y91" s="100">
        <v>1.62</v>
      </c>
      <c r="Z91" s="101">
        <v>1.62</v>
      </c>
      <c r="AA91" s="101">
        <v>1.62</v>
      </c>
      <c r="AB91" s="101">
        <v>1.62</v>
      </c>
      <c r="AC91" s="101">
        <v>1.62</v>
      </c>
      <c r="AE91" s="179">
        <v>10</v>
      </c>
      <c r="AF91" s="170">
        <v>3.06</v>
      </c>
      <c r="AG91" s="170">
        <v>4</v>
      </c>
      <c r="AH91" s="179">
        <v>10</v>
      </c>
      <c r="AI91" s="170">
        <v>1.83</v>
      </c>
      <c r="AJ91" s="170">
        <v>2.73</v>
      </c>
      <c r="AK91" s="170">
        <v>8.2899999999999991</v>
      </c>
      <c r="AP91" s="179">
        <v>10</v>
      </c>
      <c r="AQ91" s="193">
        <v>0.57999999999999996</v>
      </c>
      <c r="AR91" s="180"/>
    </row>
    <row r="92" spans="1:44" x14ac:dyDescent="0.3">
      <c r="A92" s="179">
        <v>10</v>
      </c>
      <c r="B92" s="101"/>
      <c r="C92" s="101"/>
      <c r="D92" s="101"/>
      <c r="E92" s="100"/>
      <c r="F92" s="100"/>
      <c r="G92" s="100"/>
      <c r="H92" s="100"/>
      <c r="I92" s="101"/>
      <c r="J92" s="101"/>
      <c r="K92" s="100"/>
      <c r="L92" s="101"/>
      <c r="M92" s="101"/>
      <c r="N92" s="101"/>
      <c r="P92" s="179">
        <v>10</v>
      </c>
      <c r="Q92" s="101"/>
      <c r="R92" s="101"/>
      <c r="S92" s="101"/>
      <c r="T92" s="101"/>
      <c r="U92" s="101"/>
      <c r="V92" s="101"/>
      <c r="W92" s="101"/>
      <c r="X92" s="101"/>
      <c r="Y92" s="100"/>
      <c r="Z92" s="101"/>
      <c r="AA92" s="101"/>
      <c r="AB92" s="101"/>
      <c r="AC92" s="101"/>
      <c r="AE92" s="179">
        <v>12</v>
      </c>
      <c r="AF92" s="170">
        <v>3.85</v>
      </c>
      <c r="AG92" s="170">
        <v>4.93</v>
      </c>
      <c r="AH92" s="179">
        <v>12</v>
      </c>
      <c r="AI92" s="170">
        <v>2.09</v>
      </c>
      <c r="AJ92" s="170">
        <v>3.14</v>
      </c>
      <c r="AK92" s="170">
        <v>9.4</v>
      </c>
      <c r="AP92" s="179">
        <v>12</v>
      </c>
      <c r="AQ92" s="193">
        <v>0.57999999999999996</v>
      </c>
      <c r="AR92" s="180"/>
    </row>
    <row r="93" spans="1:44" x14ac:dyDescent="0.3">
      <c r="A93" s="179">
        <v>12</v>
      </c>
      <c r="B93" s="101"/>
      <c r="C93" s="101"/>
      <c r="D93" s="101"/>
      <c r="E93" s="100"/>
      <c r="F93" s="100"/>
      <c r="G93" s="100"/>
      <c r="H93" s="100"/>
      <c r="I93" s="101"/>
      <c r="J93" s="101"/>
      <c r="K93" s="100"/>
      <c r="L93" s="101"/>
      <c r="M93" s="101"/>
      <c r="N93" s="101"/>
      <c r="P93" s="179">
        <v>12</v>
      </c>
      <c r="Q93" s="101"/>
      <c r="R93" s="101"/>
      <c r="S93" s="101"/>
      <c r="T93" s="101"/>
      <c r="U93" s="101"/>
      <c r="V93" s="101"/>
      <c r="W93" s="101"/>
      <c r="X93" s="101"/>
      <c r="Y93" s="100"/>
      <c r="Z93" s="101"/>
      <c r="AA93" s="101"/>
      <c r="AB93" s="101"/>
      <c r="AC93" s="101"/>
      <c r="AE93" s="179">
        <v>14</v>
      </c>
      <c r="AF93" s="170">
        <v>4.68</v>
      </c>
      <c r="AG93" s="170">
        <v>5.83</v>
      </c>
      <c r="AH93" s="179">
        <v>14</v>
      </c>
      <c r="AI93" s="170">
        <v>2.36</v>
      </c>
      <c r="AJ93" s="170">
        <v>3.55</v>
      </c>
      <c r="AK93" s="170">
        <v>11.06</v>
      </c>
      <c r="AP93" s="179">
        <v>14</v>
      </c>
      <c r="AQ93" s="193">
        <v>0.57999999999999996</v>
      </c>
      <c r="AR93" s="180"/>
    </row>
    <row r="94" spans="1:44" x14ac:dyDescent="0.3">
      <c r="A94" s="179">
        <v>14</v>
      </c>
      <c r="B94" s="101"/>
      <c r="C94" s="101"/>
      <c r="D94" s="101"/>
      <c r="E94" s="100"/>
      <c r="F94" s="100"/>
      <c r="G94" s="100"/>
      <c r="H94" s="100"/>
      <c r="I94" s="101"/>
      <c r="J94" s="101"/>
      <c r="K94" s="100"/>
      <c r="L94" s="101"/>
      <c r="M94" s="101"/>
      <c r="N94" s="100"/>
      <c r="P94" s="179">
        <v>14</v>
      </c>
      <c r="Q94" s="101"/>
      <c r="R94" s="101"/>
      <c r="S94" s="101"/>
      <c r="T94" s="101"/>
      <c r="U94" s="101"/>
      <c r="V94" s="101"/>
      <c r="W94" s="101"/>
      <c r="X94" s="101"/>
      <c r="Y94" s="100"/>
      <c r="Z94" s="101"/>
      <c r="AA94" s="101"/>
      <c r="AB94" s="101"/>
      <c r="AC94" s="100"/>
      <c r="AE94" s="179">
        <v>16</v>
      </c>
      <c r="AF94" s="170">
        <v>5.04</v>
      </c>
      <c r="AG94" s="170">
        <v>6.52</v>
      </c>
      <c r="AH94" s="179">
        <v>16</v>
      </c>
      <c r="AI94" s="170">
        <v>2.54</v>
      </c>
      <c r="AJ94" s="170">
        <v>3.96</v>
      </c>
      <c r="AK94" s="78"/>
      <c r="AP94" s="179">
        <v>16</v>
      </c>
      <c r="AQ94" s="193">
        <v>0.57999999999999996</v>
      </c>
      <c r="AR94" s="180"/>
    </row>
    <row r="95" spans="1:44" x14ac:dyDescent="0.3">
      <c r="A95" s="179">
        <v>16</v>
      </c>
      <c r="B95" s="101"/>
      <c r="C95" s="101"/>
      <c r="D95" s="101"/>
      <c r="E95" s="100"/>
      <c r="F95" s="100"/>
      <c r="G95" s="100"/>
      <c r="H95" s="100"/>
      <c r="I95" s="101"/>
      <c r="J95" s="101"/>
      <c r="K95" s="100"/>
      <c r="L95" s="101"/>
      <c r="M95" s="101"/>
      <c r="N95" s="100"/>
      <c r="P95" s="179">
        <v>16</v>
      </c>
      <c r="Q95" s="101"/>
      <c r="R95" s="101"/>
      <c r="S95" s="101"/>
      <c r="T95" s="101"/>
      <c r="U95" s="101"/>
      <c r="V95" s="101"/>
      <c r="W95" s="101"/>
      <c r="X95" s="101"/>
      <c r="Y95" s="100"/>
      <c r="Z95" s="101"/>
      <c r="AA95" s="101"/>
      <c r="AB95" s="101"/>
      <c r="AC95" s="100"/>
      <c r="AE95" s="179">
        <v>18</v>
      </c>
      <c r="AF95" s="170">
        <v>5.47</v>
      </c>
      <c r="AG95" s="170">
        <v>7.06</v>
      </c>
      <c r="AH95" s="179">
        <v>18</v>
      </c>
      <c r="AI95" s="170">
        <v>2.81</v>
      </c>
      <c r="AJ95" s="170">
        <v>4.38</v>
      </c>
      <c r="AK95" s="78"/>
      <c r="AP95" s="179">
        <v>18</v>
      </c>
      <c r="AQ95" s="193">
        <v>0.61</v>
      </c>
      <c r="AR95" s="180"/>
    </row>
    <row r="96" spans="1:44" x14ac:dyDescent="0.3">
      <c r="A96" s="179">
        <v>18</v>
      </c>
      <c r="B96" s="101"/>
      <c r="C96" s="101"/>
      <c r="D96" s="101"/>
      <c r="E96" s="100"/>
      <c r="F96" s="100"/>
      <c r="G96" s="100"/>
      <c r="H96" s="100"/>
      <c r="I96" s="101"/>
      <c r="J96" s="101"/>
      <c r="K96" s="100"/>
      <c r="L96" s="101"/>
      <c r="M96" s="101"/>
      <c r="N96" s="100"/>
      <c r="P96" s="179">
        <v>18</v>
      </c>
      <c r="Q96" s="101"/>
      <c r="R96" s="101"/>
      <c r="S96" s="101"/>
      <c r="T96" s="101"/>
      <c r="U96" s="101"/>
      <c r="V96" s="101"/>
      <c r="W96" s="101"/>
      <c r="X96" s="101"/>
      <c r="Y96" s="100"/>
      <c r="Z96" s="101"/>
      <c r="AA96" s="101"/>
      <c r="AB96" s="101"/>
      <c r="AC96" s="100"/>
      <c r="AE96" s="179">
        <v>20</v>
      </c>
      <c r="AF96" s="170">
        <v>5.83</v>
      </c>
      <c r="AG96" s="170">
        <v>7.34</v>
      </c>
      <c r="AH96" s="179">
        <v>20</v>
      </c>
      <c r="AI96" s="170">
        <v>3.07</v>
      </c>
      <c r="AJ96" s="170">
        <v>4.79</v>
      </c>
      <c r="AK96" s="78"/>
      <c r="AP96" s="179">
        <v>20</v>
      </c>
      <c r="AQ96" s="193">
        <v>0.61</v>
      </c>
      <c r="AR96" s="180"/>
    </row>
    <row r="97" spans="1:44" x14ac:dyDescent="0.3">
      <c r="A97" s="179">
        <v>20</v>
      </c>
      <c r="B97" s="101"/>
      <c r="C97" s="101"/>
      <c r="D97" s="101"/>
      <c r="E97" s="100"/>
      <c r="F97" s="100"/>
      <c r="G97" s="100"/>
      <c r="H97" s="100"/>
      <c r="I97" s="101"/>
      <c r="J97" s="101"/>
      <c r="K97" s="100"/>
      <c r="L97" s="101"/>
      <c r="M97" s="101"/>
      <c r="N97" s="100"/>
      <c r="P97" s="179">
        <v>20</v>
      </c>
      <c r="Q97" s="101"/>
      <c r="R97" s="101"/>
      <c r="S97" s="101"/>
      <c r="T97" s="101"/>
      <c r="U97" s="101"/>
      <c r="V97" s="101"/>
      <c r="W97" s="101"/>
      <c r="X97" s="101"/>
      <c r="Y97" s="100"/>
      <c r="Z97" s="101"/>
      <c r="AA97" s="101"/>
      <c r="AB97" s="101"/>
      <c r="AC97" s="100"/>
      <c r="AE97" s="179">
        <v>24</v>
      </c>
      <c r="AF97" s="170">
        <v>6.98</v>
      </c>
      <c r="AG97" s="170">
        <v>8.89</v>
      </c>
      <c r="AH97" s="179">
        <v>24</v>
      </c>
      <c r="AI97" s="170">
        <v>3.81</v>
      </c>
      <c r="AJ97" s="170">
        <v>5.76</v>
      </c>
      <c r="AK97" s="78"/>
      <c r="AP97" s="179">
        <v>24</v>
      </c>
      <c r="AQ97" s="193">
        <v>0.82</v>
      </c>
      <c r="AR97" s="180"/>
    </row>
    <row r="98" spans="1:44" x14ac:dyDescent="0.3">
      <c r="A98" s="179">
        <v>24</v>
      </c>
      <c r="B98" s="101"/>
      <c r="C98" s="101"/>
      <c r="D98" s="101"/>
      <c r="E98" s="100"/>
      <c r="F98" s="100"/>
      <c r="G98" s="100"/>
      <c r="H98" s="100"/>
      <c r="I98" s="101"/>
      <c r="J98" s="101"/>
      <c r="K98" s="100"/>
      <c r="L98" s="101"/>
      <c r="M98" s="101"/>
      <c r="N98" s="100"/>
      <c r="P98" s="179">
        <v>24</v>
      </c>
      <c r="Q98" s="101"/>
      <c r="R98" s="101"/>
      <c r="S98" s="101"/>
      <c r="T98" s="101"/>
      <c r="U98" s="101"/>
      <c r="V98" s="101"/>
      <c r="W98" s="101"/>
      <c r="X98" s="101"/>
      <c r="Y98" s="100"/>
      <c r="Z98" s="101"/>
      <c r="AA98" s="101"/>
      <c r="AB98" s="101"/>
      <c r="AC98" s="100"/>
      <c r="AP98" s="179">
        <v>26</v>
      </c>
      <c r="AQ98" s="193">
        <v>0.82</v>
      </c>
      <c r="AR98" s="180"/>
    </row>
    <row r="99" spans="1:44" x14ac:dyDescent="0.3">
      <c r="A99" s="179">
        <v>26</v>
      </c>
      <c r="B99" s="101"/>
      <c r="C99" s="101"/>
      <c r="D99" s="101"/>
      <c r="E99" s="100"/>
      <c r="F99" s="100"/>
      <c r="G99" s="100"/>
      <c r="H99" s="100"/>
      <c r="I99" s="100"/>
      <c r="J99" s="100"/>
      <c r="K99" s="100"/>
      <c r="L99" s="100"/>
      <c r="M99" s="100"/>
      <c r="N99" s="100"/>
      <c r="P99" s="179">
        <v>26</v>
      </c>
      <c r="Q99" s="101"/>
      <c r="R99" s="101"/>
      <c r="S99" s="101"/>
      <c r="T99" s="101"/>
      <c r="U99" s="101"/>
      <c r="V99" s="100"/>
      <c r="W99" s="101"/>
      <c r="X99" s="101"/>
      <c r="Y99" s="100"/>
      <c r="Z99" s="100"/>
      <c r="AA99" s="100"/>
      <c r="AB99" s="100"/>
      <c r="AC99" s="100"/>
      <c r="AP99" s="179">
        <v>28</v>
      </c>
      <c r="AQ99" s="193">
        <v>0.82</v>
      </c>
      <c r="AR99" s="180"/>
    </row>
    <row r="100" spans="1:44" x14ac:dyDescent="0.3">
      <c r="A100" s="179">
        <v>28</v>
      </c>
      <c r="B100" s="101"/>
      <c r="C100" s="101"/>
      <c r="D100" s="101"/>
      <c r="E100" s="100"/>
      <c r="F100" s="100"/>
      <c r="G100" s="100"/>
      <c r="H100" s="100"/>
      <c r="I100" s="100"/>
      <c r="J100" s="100"/>
      <c r="K100" s="100"/>
      <c r="L100" s="100"/>
      <c r="M100" s="100"/>
      <c r="N100" s="100"/>
      <c r="P100" s="179">
        <v>28</v>
      </c>
      <c r="Q100" s="101"/>
      <c r="R100" s="101"/>
      <c r="S100" s="101"/>
      <c r="T100" s="101"/>
      <c r="U100" s="101"/>
      <c r="V100" s="100"/>
      <c r="W100" s="101"/>
      <c r="X100" s="101"/>
      <c r="Y100" s="100"/>
      <c r="Z100" s="100"/>
      <c r="AA100" s="100"/>
      <c r="AB100" s="100"/>
      <c r="AC100" s="100"/>
      <c r="AP100" s="179">
        <v>30</v>
      </c>
      <c r="AQ100" s="193">
        <v>0.82</v>
      </c>
      <c r="AR100" s="180"/>
    </row>
    <row r="101" spans="1:44" x14ac:dyDescent="0.3">
      <c r="A101" s="179">
        <v>30</v>
      </c>
      <c r="B101" s="101"/>
      <c r="C101" s="101"/>
      <c r="D101" s="101"/>
      <c r="E101" s="100"/>
      <c r="F101" s="100"/>
      <c r="G101" s="100"/>
      <c r="H101" s="100"/>
      <c r="I101" s="100"/>
      <c r="J101" s="100"/>
      <c r="K101" s="100"/>
      <c r="L101" s="100"/>
      <c r="M101" s="100"/>
      <c r="N101" s="100"/>
      <c r="P101" s="179">
        <v>30</v>
      </c>
      <c r="Q101" s="101"/>
      <c r="R101" s="101"/>
      <c r="S101" s="101"/>
      <c r="T101" s="101"/>
      <c r="U101" s="101"/>
      <c r="V101" s="100"/>
      <c r="W101" s="101"/>
      <c r="X101" s="101"/>
      <c r="Y101" s="100"/>
      <c r="Z101" s="100"/>
      <c r="AA101" s="100"/>
      <c r="AB101" s="100"/>
      <c r="AC101" s="100"/>
      <c r="AP101" s="179">
        <v>32</v>
      </c>
      <c r="AQ101" s="193">
        <v>0.99</v>
      </c>
      <c r="AR101" s="180"/>
    </row>
    <row r="102" spans="1:44" x14ac:dyDescent="0.3">
      <c r="A102" s="179">
        <v>32</v>
      </c>
      <c r="B102" s="101"/>
      <c r="C102" s="101"/>
      <c r="D102" s="101"/>
      <c r="E102" s="100"/>
      <c r="F102" s="100"/>
      <c r="G102" s="100"/>
      <c r="H102" s="100"/>
      <c r="I102" s="100"/>
      <c r="J102" s="100"/>
      <c r="K102" s="100"/>
      <c r="L102" s="100"/>
      <c r="M102" s="100"/>
      <c r="N102" s="100"/>
      <c r="P102" s="179">
        <v>32</v>
      </c>
      <c r="Q102" s="100"/>
      <c r="R102" s="100"/>
      <c r="S102" s="100"/>
      <c r="T102" s="100"/>
      <c r="U102" s="100"/>
      <c r="V102" s="100"/>
      <c r="W102" s="100"/>
      <c r="X102" s="100"/>
      <c r="Y102" s="100"/>
      <c r="Z102" s="100"/>
      <c r="AA102" s="100"/>
      <c r="AB102" s="100"/>
      <c r="AC102" s="100"/>
      <c r="AP102" s="179">
        <v>36</v>
      </c>
      <c r="AQ102" s="193">
        <v>0.99</v>
      </c>
      <c r="AR102" s="180"/>
    </row>
    <row r="103" spans="1:44" x14ac:dyDescent="0.3">
      <c r="A103" s="179">
        <v>36</v>
      </c>
      <c r="B103" s="100"/>
      <c r="C103" s="101"/>
      <c r="D103" s="101"/>
      <c r="E103" s="100"/>
      <c r="F103" s="100"/>
      <c r="G103" s="100"/>
      <c r="H103" s="100"/>
      <c r="I103" s="100"/>
      <c r="J103" s="100"/>
      <c r="K103" s="100"/>
      <c r="L103" s="100"/>
      <c r="M103" s="100"/>
      <c r="N103" s="100"/>
      <c r="P103" s="179">
        <v>36</v>
      </c>
      <c r="Q103" s="100"/>
      <c r="R103" s="100"/>
      <c r="S103" s="100"/>
      <c r="T103" s="100"/>
      <c r="U103" s="100"/>
      <c r="V103" s="100"/>
      <c r="W103" s="100"/>
      <c r="X103" s="100"/>
      <c r="Y103" s="100"/>
      <c r="Z103" s="100"/>
      <c r="AA103" s="100"/>
      <c r="AB103" s="100"/>
      <c r="AC103" s="100"/>
      <c r="AP103" s="179">
        <v>42</v>
      </c>
      <c r="AQ103" s="193">
        <v>1.36</v>
      </c>
      <c r="AR103" s="180"/>
    </row>
    <row r="104" spans="1:44" x14ac:dyDescent="0.3">
      <c r="A104" s="179">
        <v>42</v>
      </c>
      <c r="B104" s="100"/>
      <c r="C104" s="100"/>
      <c r="D104" s="100"/>
      <c r="E104" s="100"/>
      <c r="F104" s="100"/>
      <c r="G104" s="100"/>
      <c r="H104" s="100"/>
      <c r="I104" s="100"/>
      <c r="J104" s="100"/>
      <c r="K104" s="100"/>
      <c r="L104" s="100"/>
      <c r="M104" s="100"/>
      <c r="N104" s="100"/>
      <c r="P104" s="179">
        <v>42</v>
      </c>
      <c r="Q104" s="100"/>
      <c r="R104" s="100"/>
      <c r="S104" s="100"/>
      <c r="T104" s="100"/>
      <c r="U104" s="100"/>
      <c r="V104" s="100"/>
      <c r="W104" s="100"/>
      <c r="X104" s="100"/>
      <c r="Y104" s="100"/>
      <c r="Z104" s="100"/>
      <c r="AA104" s="100"/>
      <c r="AB104" s="100"/>
      <c r="AC104" s="100"/>
      <c r="AP104" s="179">
        <v>48</v>
      </c>
      <c r="AQ104" s="193">
        <v>1.36</v>
      </c>
      <c r="AR104" s="180"/>
    </row>
    <row r="105" spans="1:44" x14ac:dyDescent="0.3">
      <c r="A105" s="179">
        <v>48</v>
      </c>
      <c r="B105" s="100"/>
      <c r="C105" s="100"/>
      <c r="D105" s="100"/>
      <c r="E105" s="100"/>
      <c r="F105" s="100"/>
      <c r="G105" s="100"/>
      <c r="H105" s="100"/>
      <c r="I105" s="100"/>
      <c r="J105" s="100"/>
      <c r="K105" s="100"/>
      <c r="L105" s="100"/>
      <c r="M105" s="100"/>
      <c r="N105" s="100"/>
      <c r="P105" s="179">
        <v>48</v>
      </c>
      <c r="Q105" s="100"/>
      <c r="R105" s="100"/>
      <c r="S105" s="100"/>
      <c r="T105" s="100"/>
      <c r="U105" s="100"/>
      <c r="V105" s="100"/>
      <c r="W105" s="100"/>
      <c r="X105" s="100"/>
      <c r="Y105" s="100"/>
      <c r="Z105" s="100"/>
      <c r="AA105" s="100"/>
      <c r="AB105" s="100"/>
      <c r="AC105" s="100"/>
    </row>
    <row r="106" spans="1:44" x14ac:dyDescent="0.3">
      <c r="A106" s="83"/>
      <c r="B106" s="84"/>
      <c r="C106" s="84"/>
      <c r="D106" s="84"/>
      <c r="E106" s="84"/>
      <c r="F106" s="84"/>
      <c r="G106" s="84"/>
      <c r="H106" s="84"/>
      <c r="I106" s="84"/>
      <c r="J106" s="84"/>
      <c r="K106" s="84"/>
      <c r="L106" s="84"/>
      <c r="M106" s="84"/>
      <c r="N106" s="84"/>
      <c r="P106" s="83"/>
      <c r="Q106" s="84"/>
      <c r="R106" s="84"/>
      <c r="S106" s="84"/>
      <c r="T106" s="84"/>
      <c r="U106" s="84"/>
      <c r="V106" s="84"/>
      <c r="W106" s="84"/>
      <c r="X106" s="84"/>
      <c r="Y106" s="84"/>
      <c r="Z106" s="84"/>
      <c r="AA106" s="84"/>
      <c r="AB106" s="84"/>
      <c r="AC106" s="84"/>
    </row>
    <row r="107" spans="1:44" x14ac:dyDescent="0.3">
      <c r="A107" s="85" t="s">
        <v>748</v>
      </c>
      <c r="B107" s="100" t="s">
        <v>704</v>
      </c>
      <c r="C107" s="100" t="s">
        <v>705</v>
      </c>
      <c r="D107" s="100" t="s">
        <v>706</v>
      </c>
      <c r="E107" s="100" t="s">
        <v>707</v>
      </c>
      <c r="F107" s="100" t="s">
        <v>708</v>
      </c>
      <c r="G107" s="100" t="s">
        <v>709</v>
      </c>
      <c r="H107" s="100" t="s">
        <v>710</v>
      </c>
      <c r="I107" s="100" t="s">
        <v>711</v>
      </c>
      <c r="J107" s="100" t="s">
        <v>712</v>
      </c>
      <c r="K107" s="100" t="s">
        <v>713</v>
      </c>
      <c r="L107" s="100" t="s">
        <v>714</v>
      </c>
      <c r="M107" s="100" t="s">
        <v>715</v>
      </c>
      <c r="N107" s="100" t="s">
        <v>716</v>
      </c>
      <c r="P107" s="86" t="s">
        <v>749</v>
      </c>
      <c r="Q107" s="183" t="s">
        <v>704</v>
      </c>
      <c r="R107" s="183" t="s">
        <v>705</v>
      </c>
      <c r="S107" s="183" t="s">
        <v>706</v>
      </c>
      <c r="T107" s="183" t="s">
        <v>707</v>
      </c>
      <c r="U107" s="183" t="s">
        <v>708</v>
      </c>
      <c r="V107" s="183" t="s">
        <v>709</v>
      </c>
      <c r="W107" s="183" t="s">
        <v>710</v>
      </c>
      <c r="X107" s="183" t="s">
        <v>711</v>
      </c>
      <c r="Y107" s="183" t="s">
        <v>712</v>
      </c>
      <c r="Z107" s="183" t="s">
        <v>713</v>
      </c>
      <c r="AA107" s="183" t="s">
        <v>714</v>
      </c>
      <c r="AB107" s="183" t="s">
        <v>715</v>
      </c>
      <c r="AC107" s="183" t="s">
        <v>716</v>
      </c>
    </row>
    <row r="108" spans="1:44" x14ac:dyDescent="0.3">
      <c r="A108" s="179" t="s">
        <v>718</v>
      </c>
      <c r="B108" s="101">
        <v>0.86</v>
      </c>
      <c r="C108" s="100"/>
      <c r="D108" s="100"/>
      <c r="E108" s="100">
        <v>0.86</v>
      </c>
      <c r="F108" s="100">
        <v>0.86</v>
      </c>
      <c r="G108" s="100"/>
      <c r="H108" s="100">
        <v>0.86</v>
      </c>
      <c r="I108" s="101">
        <v>0.86</v>
      </c>
      <c r="J108" s="101"/>
      <c r="K108" s="100"/>
      <c r="L108" s="101"/>
      <c r="M108" s="101">
        <v>0.86</v>
      </c>
      <c r="N108" s="101">
        <v>0.86</v>
      </c>
      <c r="P108" s="179" t="s">
        <v>718</v>
      </c>
      <c r="Q108" s="183">
        <v>0.93</v>
      </c>
      <c r="R108" s="100"/>
      <c r="S108" s="100"/>
      <c r="T108" s="183">
        <v>0.93</v>
      </c>
      <c r="U108" s="183">
        <v>0.93</v>
      </c>
      <c r="V108" s="100"/>
      <c r="W108" s="183">
        <v>0.93</v>
      </c>
      <c r="X108" s="101">
        <v>0.93</v>
      </c>
      <c r="Y108" s="100"/>
      <c r="Z108" s="100"/>
      <c r="AA108" s="100"/>
      <c r="AB108" s="101">
        <v>0.93</v>
      </c>
      <c r="AC108" s="101">
        <v>0.93</v>
      </c>
    </row>
    <row r="109" spans="1:44" x14ac:dyDescent="0.3">
      <c r="A109" s="179" t="s">
        <v>719</v>
      </c>
      <c r="B109" s="101">
        <v>1.1499999999999999</v>
      </c>
      <c r="C109" s="100"/>
      <c r="D109" s="100"/>
      <c r="E109" s="100">
        <v>1.1499999999999999</v>
      </c>
      <c r="F109" s="100">
        <v>1.1499999999999999</v>
      </c>
      <c r="G109" s="100"/>
      <c r="H109" s="100">
        <v>1.1499999999999999</v>
      </c>
      <c r="I109" s="101">
        <v>1.1499999999999999</v>
      </c>
      <c r="J109" s="101"/>
      <c r="K109" s="100"/>
      <c r="L109" s="101"/>
      <c r="M109" s="101">
        <v>1.1499999999999999</v>
      </c>
      <c r="N109" s="101">
        <v>1.1499999999999999</v>
      </c>
      <c r="P109" s="179" t="s">
        <v>719</v>
      </c>
      <c r="Q109" s="183">
        <v>1.23</v>
      </c>
      <c r="R109" s="100"/>
      <c r="S109" s="100"/>
      <c r="T109" s="183">
        <v>1.23</v>
      </c>
      <c r="U109" s="183">
        <v>1.23</v>
      </c>
      <c r="V109" s="100"/>
      <c r="W109" s="183">
        <v>1.23</v>
      </c>
      <c r="X109" s="101">
        <v>1.23</v>
      </c>
      <c r="Y109" s="100"/>
      <c r="Z109" s="100"/>
      <c r="AA109" s="100"/>
      <c r="AB109" s="101">
        <v>1.23</v>
      </c>
      <c r="AC109" s="101">
        <v>1.23</v>
      </c>
    </row>
    <row r="110" spans="1:44" x14ac:dyDescent="0.3">
      <c r="A110" s="179">
        <v>1</v>
      </c>
      <c r="B110" s="101">
        <v>1.48</v>
      </c>
      <c r="C110" s="100"/>
      <c r="D110" s="100"/>
      <c r="E110" s="100">
        <v>1.48</v>
      </c>
      <c r="F110" s="100">
        <v>1.48</v>
      </c>
      <c r="G110" s="100"/>
      <c r="H110" s="100">
        <v>1.48</v>
      </c>
      <c r="I110" s="101">
        <v>1.48</v>
      </c>
      <c r="J110" s="101"/>
      <c r="K110" s="100"/>
      <c r="L110" s="101"/>
      <c r="M110" s="101">
        <v>1.48</v>
      </c>
      <c r="N110" s="101">
        <v>1.48</v>
      </c>
      <c r="P110" s="179">
        <v>1</v>
      </c>
      <c r="Q110" s="183">
        <v>1.54</v>
      </c>
      <c r="R110" s="100"/>
      <c r="S110" s="100"/>
      <c r="T110" s="183">
        <v>1.54</v>
      </c>
      <c r="U110" s="183">
        <v>1.54</v>
      </c>
      <c r="V110" s="100"/>
      <c r="W110" s="183">
        <v>1.54</v>
      </c>
      <c r="X110" s="101">
        <v>1.54</v>
      </c>
      <c r="Y110" s="100"/>
      <c r="Z110" s="100"/>
      <c r="AA110" s="100"/>
      <c r="AB110" s="101">
        <v>1.54</v>
      </c>
      <c r="AC110" s="101">
        <v>1.54</v>
      </c>
    </row>
    <row r="111" spans="1:44" x14ac:dyDescent="0.3">
      <c r="A111" s="179" t="s">
        <v>720</v>
      </c>
      <c r="B111" s="101">
        <v>1.81</v>
      </c>
      <c r="C111" s="100"/>
      <c r="D111" s="100"/>
      <c r="E111" s="100">
        <v>1.81</v>
      </c>
      <c r="F111" s="100">
        <v>1.81</v>
      </c>
      <c r="G111" s="100"/>
      <c r="H111" s="100">
        <v>1.81</v>
      </c>
      <c r="I111" s="101">
        <v>1.81</v>
      </c>
      <c r="J111" s="101"/>
      <c r="K111" s="100"/>
      <c r="L111" s="101"/>
      <c r="M111" s="101">
        <v>1.81</v>
      </c>
      <c r="N111" s="101">
        <v>2.0499999999999998</v>
      </c>
      <c r="P111" s="179" t="s">
        <v>720</v>
      </c>
      <c r="Q111" s="183">
        <v>1.87</v>
      </c>
      <c r="R111" s="100"/>
      <c r="S111" s="100"/>
      <c r="T111" s="183">
        <v>1.87</v>
      </c>
      <c r="U111" s="183">
        <v>1.87</v>
      </c>
      <c r="V111" s="100"/>
      <c r="W111" s="183">
        <v>1.87</v>
      </c>
      <c r="X111" s="101">
        <v>1.87</v>
      </c>
      <c r="Y111" s="100"/>
      <c r="Z111" s="100"/>
      <c r="AA111" s="100"/>
      <c r="AB111" s="101">
        <v>1.87</v>
      </c>
      <c r="AC111" s="101">
        <v>2.11</v>
      </c>
    </row>
    <row r="112" spans="1:44" x14ac:dyDescent="0.3">
      <c r="A112" s="179">
        <v>2</v>
      </c>
      <c r="B112" s="101">
        <v>2.14</v>
      </c>
      <c r="C112" s="100"/>
      <c r="D112" s="100"/>
      <c r="E112" s="100">
        <v>2.14</v>
      </c>
      <c r="F112" s="100">
        <v>2.14</v>
      </c>
      <c r="G112" s="100"/>
      <c r="H112" s="100">
        <v>2.14</v>
      </c>
      <c r="I112" s="101">
        <v>2.14</v>
      </c>
      <c r="J112" s="101"/>
      <c r="K112" s="100"/>
      <c r="L112" s="101"/>
      <c r="M112" s="101">
        <v>2.14</v>
      </c>
      <c r="N112" s="101">
        <v>2.42</v>
      </c>
      <c r="P112" s="179">
        <v>2</v>
      </c>
      <c r="Q112" s="183">
        <v>2.21</v>
      </c>
      <c r="R112" s="100"/>
      <c r="S112" s="100"/>
      <c r="T112" s="183">
        <v>2.21</v>
      </c>
      <c r="U112" s="183">
        <v>2.21</v>
      </c>
      <c r="V112" s="100"/>
      <c r="W112" s="183">
        <v>2.21</v>
      </c>
      <c r="X112" s="101">
        <v>2.21</v>
      </c>
      <c r="Y112" s="100"/>
      <c r="Z112" s="100"/>
      <c r="AA112" s="100"/>
      <c r="AB112" s="101">
        <v>2.21</v>
      </c>
      <c r="AC112" s="101">
        <v>2.4900000000000002</v>
      </c>
    </row>
    <row r="113" spans="1:29" x14ac:dyDescent="0.3">
      <c r="A113" s="179" t="s">
        <v>721</v>
      </c>
      <c r="B113" s="101">
        <v>2.4</v>
      </c>
      <c r="C113" s="100"/>
      <c r="D113" s="100"/>
      <c r="E113" s="100">
        <v>2.4</v>
      </c>
      <c r="F113" s="100">
        <v>2.4</v>
      </c>
      <c r="G113" s="100"/>
      <c r="H113" s="100">
        <v>2.4</v>
      </c>
      <c r="I113" s="101">
        <v>2.4</v>
      </c>
      <c r="J113" s="101"/>
      <c r="K113" s="100"/>
      <c r="L113" s="101"/>
      <c r="M113" s="101">
        <v>2.4</v>
      </c>
      <c r="N113" s="101">
        <v>3.24</v>
      </c>
      <c r="P113" s="179" t="s">
        <v>721</v>
      </c>
      <c r="Q113" s="183">
        <v>2.46</v>
      </c>
      <c r="R113" s="100"/>
      <c r="S113" s="100"/>
      <c r="T113" s="183">
        <v>2.46</v>
      </c>
      <c r="U113" s="183">
        <v>2.46</v>
      </c>
      <c r="V113" s="100"/>
      <c r="W113" s="183">
        <v>2.46</v>
      </c>
      <c r="X113" s="101">
        <v>2.46</v>
      </c>
      <c r="Y113" s="100"/>
      <c r="Z113" s="100"/>
      <c r="AA113" s="100"/>
      <c r="AB113" s="101">
        <v>2.46</v>
      </c>
      <c r="AC113" s="101">
        <v>3.31</v>
      </c>
    </row>
    <row r="114" spans="1:29" x14ac:dyDescent="0.3">
      <c r="A114" s="179">
        <v>3</v>
      </c>
      <c r="B114" s="101">
        <v>2.65</v>
      </c>
      <c r="C114" s="100"/>
      <c r="D114" s="100"/>
      <c r="E114" s="100">
        <v>2.65</v>
      </c>
      <c r="F114" s="100">
        <v>2.65</v>
      </c>
      <c r="G114" s="100"/>
      <c r="H114" s="100">
        <v>2.65</v>
      </c>
      <c r="I114" s="101">
        <v>2.65</v>
      </c>
      <c r="J114" s="101"/>
      <c r="K114" s="100"/>
      <c r="L114" s="101"/>
      <c r="M114" s="101">
        <v>2.97</v>
      </c>
      <c r="N114" s="101">
        <v>3.57</v>
      </c>
      <c r="P114" s="179">
        <v>3</v>
      </c>
      <c r="Q114" s="183">
        <v>2.69</v>
      </c>
      <c r="R114" s="100"/>
      <c r="S114" s="100"/>
      <c r="T114" s="183">
        <v>2.69</v>
      </c>
      <c r="U114" s="183">
        <v>2.69</v>
      </c>
      <c r="V114" s="100"/>
      <c r="W114" s="183">
        <v>2.69</v>
      </c>
      <c r="X114" s="101">
        <v>2.69</v>
      </c>
      <c r="Y114" s="100"/>
      <c r="Z114" s="100"/>
      <c r="AA114" s="100"/>
      <c r="AB114" s="101">
        <v>3.01</v>
      </c>
      <c r="AC114" s="101">
        <v>3.64</v>
      </c>
    </row>
    <row r="115" spans="1:29" x14ac:dyDescent="0.3">
      <c r="A115" s="179">
        <v>4</v>
      </c>
      <c r="B115" s="101">
        <v>3.15</v>
      </c>
      <c r="C115" s="100"/>
      <c r="D115" s="100"/>
      <c r="E115" s="100">
        <v>3.15</v>
      </c>
      <c r="F115" s="100">
        <v>3.15</v>
      </c>
      <c r="G115" s="100"/>
      <c r="H115" s="100">
        <v>3.15</v>
      </c>
      <c r="I115" s="101">
        <v>3.15</v>
      </c>
      <c r="J115" s="101"/>
      <c r="K115" s="100">
        <v>3.52</v>
      </c>
      <c r="L115" s="101"/>
      <c r="M115" s="101">
        <v>4.2300000000000004</v>
      </c>
      <c r="N115" s="101">
        <v>4.76</v>
      </c>
      <c r="P115" s="179">
        <v>4</v>
      </c>
      <c r="Q115" s="183">
        <v>3.18</v>
      </c>
      <c r="R115" s="100"/>
      <c r="S115" s="100"/>
      <c r="T115" s="183">
        <v>3.18</v>
      </c>
      <c r="U115" s="183">
        <v>3.18</v>
      </c>
      <c r="V115" s="100"/>
      <c r="W115" s="183">
        <v>3.18</v>
      </c>
      <c r="X115" s="101">
        <v>3.18</v>
      </c>
      <c r="Y115" s="100"/>
      <c r="Z115" s="101">
        <v>3.54</v>
      </c>
      <c r="AA115" s="100"/>
      <c r="AB115" s="101">
        <v>4.18</v>
      </c>
      <c r="AC115" s="101">
        <v>4.8499999999999996</v>
      </c>
    </row>
    <row r="116" spans="1:29" x14ac:dyDescent="0.3">
      <c r="A116" s="179">
        <v>6</v>
      </c>
      <c r="B116" s="101">
        <v>3.9</v>
      </c>
      <c r="C116" s="100"/>
      <c r="D116" s="100"/>
      <c r="E116" s="100">
        <v>3.9</v>
      </c>
      <c r="F116" s="100">
        <v>3.9</v>
      </c>
      <c r="G116" s="100"/>
      <c r="H116" s="100">
        <v>4.34</v>
      </c>
      <c r="I116" s="101">
        <v>4.34</v>
      </c>
      <c r="J116" s="100"/>
      <c r="K116" s="100">
        <v>5.2</v>
      </c>
      <c r="L116" s="100"/>
      <c r="M116" s="101">
        <v>5.84</v>
      </c>
      <c r="N116" s="101">
        <v>6.61</v>
      </c>
      <c r="P116" s="179">
        <v>6</v>
      </c>
      <c r="Q116" s="183">
        <v>4.07</v>
      </c>
      <c r="R116" s="100"/>
      <c r="S116" s="100"/>
      <c r="T116" s="183">
        <v>4.07</v>
      </c>
      <c r="U116" s="183">
        <v>4.07</v>
      </c>
      <c r="V116" s="100"/>
      <c r="W116" s="183">
        <v>4.5199999999999996</v>
      </c>
      <c r="X116" s="101">
        <v>4.5199999999999996</v>
      </c>
      <c r="Y116" s="101"/>
      <c r="Z116" s="101">
        <v>5.33</v>
      </c>
      <c r="AA116" s="100"/>
      <c r="AB116" s="101">
        <v>6.08</v>
      </c>
      <c r="AC116" s="101">
        <v>6.87</v>
      </c>
    </row>
    <row r="117" spans="1:29" x14ac:dyDescent="0.3">
      <c r="A117" s="179">
        <v>8</v>
      </c>
      <c r="B117" s="101">
        <v>4.6500000000000004</v>
      </c>
      <c r="C117" s="101">
        <v>4.6500000000000004</v>
      </c>
      <c r="D117" s="101">
        <v>4.6500000000000004</v>
      </c>
      <c r="E117" s="100">
        <v>4.6500000000000004</v>
      </c>
      <c r="F117" s="100">
        <v>4.6500000000000004</v>
      </c>
      <c r="G117" s="100">
        <v>5.16</v>
      </c>
      <c r="H117" s="100">
        <v>5.16</v>
      </c>
      <c r="I117" s="101">
        <v>5.16</v>
      </c>
      <c r="J117" s="101">
        <v>6.19</v>
      </c>
      <c r="K117" s="100">
        <v>6.93</v>
      </c>
      <c r="L117" s="101">
        <v>7.82</v>
      </c>
      <c r="M117" s="101">
        <v>7.82</v>
      </c>
      <c r="N117" s="101">
        <v>7.82</v>
      </c>
      <c r="P117" s="179">
        <v>8</v>
      </c>
      <c r="Q117" s="183">
        <v>4.92</v>
      </c>
      <c r="R117" s="101">
        <v>4.92</v>
      </c>
      <c r="S117" s="101">
        <v>4.92</v>
      </c>
      <c r="T117" s="183">
        <v>4.92</v>
      </c>
      <c r="U117" s="183">
        <v>4.92</v>
      </c>
      <c r="V117" s="101">
        <v>5.47</v>
      </c>
      <c r="W117" s="183">
        <v>5.47</v>
      </c>
      <c r="X117" s="101">
        <v>5.47</v>
      </c>
      <c r="Y117" s="100">
        <v>6.46</v>
      </c>
      <c r="Z117" s="101">
        <v>7.36</v>
      </c>
      <c r="AA117" s="101">
        <v>8.32</v>
      </c>
      <c r="AB117" s="101">
        <v>8.32</v>
      </c>
      <c r="AC117" s="101">
        <v>8.32</v>
      </c>
    </row>
    <row r="118" spans="1:29" x14ac:dyDescent="0.3">
      <c r="A118" s="179">
        <v>10</v>
      </c>
      <c r="B118" s="101">
        <v>5.3</v>
      </c>
      <c r="C118" s="101">
        <v>5.3</v>
      </c>
      <c r="D118" s="101">
        <v>5.3</v>
      </c>
      <c r="E118" s="100">
        <v>5.3</v>
      </c>
      <c r="F118" s="100">
        <v>5.3</v>
      </c>
      <c r="G118" s="100">
        <v>5.87</v>
      </c>
      <c r="H118" s="100">
        <v>5.87</v>
      </c>
      <c r="I118" s="101">
        <v>7.04</v>
      </c>
      <c r="J118" s="101">
        <v>7.86</v>
      </c>
      <c r="K118" s="100">
        <v>8.84</v>
      </c>
      <c r="L118" s="101">
        <v>10.029999999999999</v>
      </c>
      <c r="M118" s="101">
        <v>12.18</v>
      </c>
      <c r="N118" s="101">
        <v>10.029999999999999</v>
      </c>
      <c r="P118" s="179">
        <v>10</v>
      </c>
      <c r="Q118" s="183">
        <v>5.8</v>
      </c>
      <c r="R118" s="101">
        <v>5.8</v>
      </c>
      <c r="S118" s="101">
        <v>5.8</v>
      </c>
      <c r="T118" s="183">
        <v>5.8</v>
      </c>
      <c r="U118" s="183">
        <v>5.8</v>
      </c>
      <c r="V118" s="101">
        <v>6.45</v>
      </c>
      <c r="W118" s="183">
        <v>6.45</v>
      </c>
      <c r="X118" s="101">
        <v>7.61</v>
      </c>
      <c r="Y118" s="100">
        <v>8.67</v>
      </c>
      <c r="Z118" s="101">
        <v>9.7899999999999991</v>
      </c>
      <c r="AA118" s="101">
        <v>11.14</v>
      </c>
      <c r="AB118" s="101">
        <v>13.52</v>
      </c>
      <c r="AC118" s="101">
        <v>11.14</v>
      </c>
    </row>
    <row r="119" spans="1:29" x14ac:dyDescent="0.3">
      <c r="A119" s="179">
        <v>12</v>
      </c>
      <c r="B119" s="101">
        <v>6.14</v>
      </c>
      <c r="C119" s="101">
        <v>6.14</v>
      </c>
      <c r="D119" s="101">
        <v>6.14</v>
      </c>
      <c r="E119" s="100">
        <v>6.14</v>
      </c>
      <c r="F119" s="100">
        <v>6.8</v>
      </c>
      <c r="G119" s="100">
        <v>8.15</v>
      </c>
      <c r="H119" s="100">
        <v>6.8</v>
      </c>
      <c r="I119" s="101">
        <v>9.1</v>
      </c>
      <c r="J119" s="101">
        <v>10.24</v>
      </c>
      <c r="K119" s="100">
        <v>11.61</v>
      </c>
      <c r="L119" s="101">
        <v>14.1</v>
      </c>
      <c r="M119" s="101">
        <v>17.36</v>
      </c>
      <c r="N119" s="101">
        <v>11.61</v>
      </c>
      <c r="P119" s="179">
        <v>12</v>
      </c>
      <c r="Q119" s="183">
        <v>6.67</v>
      </c>
      <c r="R119" s="101">
        <v>6.67</v>
      </c>
      <c r="S119" s="101">
        <v>6.67</v>
      </c>
      <c r="T119" s="183">
        <v>6.67</v>
      </c>
      <c r="U119" s="183">
        <v>7.4</v>
      </c>
      <c r="V119" s="101">
        <v>8.74</v>
      </c>
      <c r="W119" s="183">
        <v>7.4</v>
      </c>
      <c r="X119" s="101">
        <v>9.9499999999999993</v>
      </c>
      <c r="Y119" s="100">
        <v>11.24</v>
      </c>
      <c r="Z119" s="101">
        <v>12.79</v>
      </c>
      <c r="AA119" s="101">
        <v>15.53</v>
      </c>
      <c r="AB119" s="101">
        <v>19.22</v>
      </c>
      <c r="AC119" s="101">
        <v>12.79</v>
      </c>
    </row>
    <row r="120" spans="1:29" x14ac:dyDescent="0.3">
      <c r="A120" s="179">
        <v>14</v>
      </c>
      <c r="B120" s="101">
        <v>7.02</v>
      </c>
      <c r="C120" s="101">
        <v>7.02</v>
      </c>
      <c r="D120" s="101">
        <v>7.02</v>
      </c>
      <c r="E120" s="100">
        <v>7.02</v>
      </c>
      <c r="F120" s="100">
        <v>7.76</v>
      </c>
      <c r="G120" s="100">
        <v>9.32</v>
      </c>
      <c r="H120" s="100">
        <v>7.76</v>
      </c>
      <c r="I120" s="101">
        <v>10.4</v>
      </c>
      <c r="J120" s="101">
        <v>13.28</v>
      </c>
      <c r="K120" s="100">
        <v>16.13</v>
      </c>
      <c r="L120" s="101">
        <v>18.37</v>
      </c>
      <c r="M120" s="101">
        <v>21.36</v>
      </c>
      <c r="N120" s="100"/>
      <c r="P120" s="179">
        <v>14</v>
      </c>
      <c r="Q120" s="183">
        <v>7.65</v>
      </c>
      <c r="R120" s="101">
        <v>7.65</v>
      </c>
      <c r="S120" s="101">
        <v>7.65</v>
      </c>
      <c r="T120" s="183">
        <v>7.65</v>
      </c>
      <c r="U120" s="183">
        <v>8.5</v>
      </c>
      <c r="V120" s="101">
        <v>10.029999999999999</v>
      </c>
      <c r="W120" s="183">
        <v>8.5</v>
      </c>
      <c r="X120" s="101">
        <v>11.44</v>
      </c>
      <c r="Y120" s="100">
        <v>14.71</v>
      </c>
      <c r="Z120" s="101">
        <v>17.850000000000001</v>
      </c>
      <c r="AA120" s="101">
        <v>20.399999999999999</v>
      </c>
      <c r="AB120" s="101">
        <v>23.8</v>
      </c>
      <c r="AC120" s="100"/>
    </row>
    <row r="121" spans="1:29" x14ac:dyDescent="0.3">
      <c r="A121" s="179">
        <v>16</v>
      </c>
      <c r="B121" s="101">
        <v>7.84</v>
      </c>
      <c r="C121" s="101">
        <v>7.84</v>
      </c>
      <c r="D121" s="101">
        <v>7.84</v>
      </c>
      <c r="E121" s="100">
        <v>7.84</v>
      </c>
      <c r="F121" s="100">
        <v>8.67</v>
      </c>
      <c r="G121" s="100">
        <v>11.61</v>
      </c>
      <c r="H121" s="100">
        <v>8.67</v>
      </c>
      <c r="I121" s="101">
        <v>13.07</v>
      </c>
      <c r="J121" s="101">
        <v>18</v>
      </c>
      <c r="K121" s="100">
        <v>20.5</v>
      </c>
      <c r="L121" s="101">
        <v>23.82</v>
      </c>
      <c r="M121" s="101">
        <v>25.49</v>
      </c>
      <c r="N121" s="100"/>
      <c r="P121" s="179">
        <v>16</v>
      </c>
      <c r="Q121" s="183">
        <v>8.6</v>
      </c>
      <c r="R121" s="101">
        <v>8.6</v>
      </c>
      <c r="S121" s="101">
        <v>8.6</v>
      </c>
      <c r="T121" s="183">
        <v>8.6</v>
      </c>
      <c r="U121" s="183">
        <v>9.5500000000000007</v>
      </c>
      <c r="V121" s="101">
        <v>12.84</v>
      </c>
      <c r="W121" s="183">
        <v>9.5500000000000007</v>
      </c>
      <c r="X121" s="101">
        <v>14.5</v>
      </c>
      <c r="Y121" s="100">
        <v>20.03</v>
      </c>
      <c r="Z121" s="101">
        <v>22.89</v>
      </c>
      <c r="AA121" s="101">
        <v>26.7</v>
      </c>
      <c r="AB121" s="101">
        <v>28.6</v>
      </c>
      <c r="AC121" s="100"/>
    </row>
    <row r="122" spans="1:29" x14ac:dyDescent="0.3">
      <c r="A122" s="179">
        <v>18</v>
      </c>
      <c r="B122" s="101">
        <v>8.66</v>
      </c>
      <c r="C122" s="101">
        <v>8.66</v>
      </c>
      <c r="D122" s="101">
        <v>9.57</v>
      </c>
      <c r="E122" s="100">
        <v>8.66</v>
      </c>
      <c r="F122" s="100">
        <v>11.49</v>
      </c>
      <c r="G122" s="100">
        <v>12.82</v>
      </c>
      <c r="H122" s="100">
        <v>9.57</v>
      </c>
      <c r="I122" s="101">
        <v>16.350000000000001</v>
      </c>
      <c r="J122" s="101">
        <v>22.61</v>
      </c>
      <c r="K122" s="100">
        <v>24.44</v>
      </c>
      <c r="L122" s="101">
        <v>28.11</v>
      </c>
      <c r="M122" s="101">
        <v>32.24</v>
      </c>
      <c r="N122" s="100"/>
      <c r="P122" s="179">
        <v>18</v>
      </c>
      <c r="Q122" s="183">
        <v>9.5299999999999994</v>
      </c>
      <c r="R122" s="101">
        <v>9.5299999999999994</v>
      </c>
      <c r="S122" s="101">
        <v>10.58</v>
      </c>
      <c r="T122" s="183">
        <v>9.5299999999999994</v>
      </c>
      <c r="U122" s="183">
        <v>12.48</v>
      </c>
      <c r="V122" s="101">
        <v>14.22</v>
      </c>
      <c r="W122" s="183">
        <v>10.58</v>
      </c>
      <c r="X122" s="101">
        <v>18.27</v>
      </c>
      <c r="Y122" s="100">
        <v>25.34</v>
      </c>
      <c r="Z122" s="101">
        <v>27.45</v>
      </c>
      <c r="AA122" s="101">
        <v>31.66</v>
      </c>
      <c r="AB122" s="101">
        <v>36.39</v>
      </c>
      <c r="AC122" s="100"/>
    </row>
    <row r="123" spans="1:29" x14ac:dyDescent="0.3">
      <c r="A123" s="179">
        <v>20</v>
      </c>
      <c r="B123" s="101">
        <v>9.48</v>
      </c>
      <c r="C123" s="101">
        <v>9.48</v>
      </c>
      <c r="D123" s="101">
        <v>10.48</v>
      </c>
      <c r="E123" s="100">
        <v>9.48</v>
      </c>
      <c r="F123" s="100">
        <v>12.58</v>
      </c>
      <c r="G123" s="100">
        <v>15.78</v>
      </c>
      <c r="H123" s="100">
        <v>10.48</v>
      </c>
      <c r="I123" s="101">
        <v>21.73</v>
      </c>
      <c r="J123" s="101">
        <v>26.74</v>
      </c>
      <c r="K123" s="100">
        <v>28.74</v>
      </c>
      <c r="L123" s="101">
        <v>32.75</v>
      </c>
      <c r="M123" s="101">
        <v>37.76</v>
      </c>
      <c r="N123" s="100"/>
      <c r="P123" s="179">
        <v>20</v>
      </c>
      <c r="Q123" s="183">
        <v>10.47</v>
      </c>
      <c r="R123" s="101">
        <v>10.47</v>
      </c>
      <c r="S123" s="101">
        <v>11.62</v>
      </c>
      <c r="T123" s="183">
        <v>10.47</v>
      </c>
      <c r="U123" s="183">
        <v>13.72</v>
      </c>
      <c r="V123" s="101">
        <v>17.64</v>
      </c>
      <c r="W123" s="183">
        <v>11.62</v>
      </c>
      <c r="X123" s="101">
        <v>24.36</v>
      </c>
      <c r="Y123" s="100">
        <v>30.14</v>
      </c>
      <c r="Z123" s="101">
        <v>32.450000000000003</v>
      </c>
      <c r="AA123" s="101">
        <v>37.07</v>
      </c>
      <c r="AB123" s="101">
        <v>42.84</v>
      </c>
      <c r="AC123" s="100"/>
    </row>
    <row r="124" spans="1:29" x14ac:dyDescent="0.3">
      <c r="A124" s="179">
        <v>24</v>
      </c>
      <c r="B124" s="101">
        <v>11.36</v>
      </c>
      <c r="C124" s="101">
        <v>11.36</v>
      </c>
      <c r="D124" s="101">
        <v>15.07</v>
      </c>
      <c r="E124" s="100">
        <v>11.36</v>
      </c>
      <c r="F124" s="100">
        <v>16.809999999999999</v>
      </c>
      <c r="G124" s="100">
        <v>21.42</v>
      </c>
      <c r="H124" s="100">
        <v>12.56</v>
      </c>
      <c r="I124" s="101">
        <v>29.62</v>
      </c>
      <c r="J124" s="101">
        <v>36.81</v>
      </c>
      <c r="K124" s="100">
        <v>42.21</v>
      </c>
      <c r="L124" s="101">
        <v>47.6</v>
      </c>
      <c r="M124" s="101">
        <v>50</v>
      </c>
      <c r="N124" s="100"/>
      <c r="P124" s="179">
        <v>24</v>
      </c>
      <c r="Q124" s="183">
        <v>12.33</v>
      </c>
      <c r="R124" s="101">
        <v>12.33</v>
      </c>
      <c r="S124" s="101">
        <v>16.16</v>
      </c>
      <c r="T124" s="183">
        <v>12.33</v>
      </c>
      <c r="U124" s="183">
        <v>18.39</v>
      </c>
      <c r="V124" s="101">
        <v>23.62</v>
      </c>
      <c r="W124" s="183">
        <v>13.69</v>
      </c>
      <c r="X124" s="101">
        <v>32.74</v>
      </c>
      <c r="Y124" s="100">
        <v>40.880000000000003</v>
      </c>
      <c r="Z124" s="101">
        <v>46.99</v>
      </c>
      <c r="AA124" s="101">
        <v>53.09</v>
      </c>
      <c r="AB124" s="101">
        <v>55.8</v>
      </c>
      <c r="AC124" s="100"/>
    </row>
    <row r="125" spans="1:29" x14ac:dyDescent="0.3">
      <c r="A125" s="179">
        <v>26</v>
      </c>
      <c r="B125" s="101"/>
      <c r="C125" s="101"/>
      <c r="D125" s="101">
        <v>16.329999999999998</v>
      </c>
      <c r="E125" s="100">
        <v>12.31</v>
      </c>
      <c r="F125" s="100">
        <v>18.21</v>
      </c>
      <c r="G125" s="100"/>
      <c r="H125" s="100">
        <v>13.6</v>
      </c>
      <c r="I125" s="100"/>
      <c r="J125" s="100"/>
      <c r="K125" s="100"/>
      <c r="L125" s="100"/>
      <c r="M125" s="100"/>
      <c r="N125" s="100"/>
      <c r="P125" s="179">
        <v>26</v>
      </c>
      <c r="Q125" s="183"/>
      <c r="R125" s="101"/>
      <c r="S125" s="101"/>
      <c r="T125" s="101"/>
      <c r="U125" s="101"/>
      <c r="V125" s="100"/>
      <c r="W125" s="101"/>
      <c r="X125" s="101"/>
      <c r="Y125" s="100"/>
      <c r="Z125" s="100"/>
      <c r="AA125" s="100"/>
      <c r="AB125" s="100"/>
      <c r="AC125" s="100"/>
    </row>
    <row r="126" spans="1:29" x14ac:dyDescent="0.3">
      <c r="A126" s="179">
        <v>28</v>
      </c>
      <c r="B126" s="101"/>
      <c r="C126" s="101"/>
      <c r="D126" s="101">
        <v>17.579999999999998</v>
      </c>
      <c r="E126" s="100">
        <v>13.25</v>
      </c>
      <c r="F126" s="100">
        <v>19.61</v>
      </c>
      <c r="G126" s="100"/>
      <c r="H126" s="100">
        <v>14.65</v>
      </c>
      <c r="I126" s="100"/>
      <c r="J126" s="100"/>
      <c r="K126" s="100"/>
      <c r="L126" s="100"/>
      <c r="M126" s="100"/>
      <c r="N126" s="100"/>
      <c r="P126" s="179">
        <v>28</v>
      </c>
      <c r="Q126" s="101"/>
      <c r="R126" s="101"/>
      <c r="S126" s="101"/>
      <c r="T126" s="101"/>
      <c r="U126" s="101"/>
      <c r="V126" s="100"/>
      <c r="W126" s="101"/>
      <c r="X126" s="101"/>
      <c r="Y126" s="100"/>
      <c r="Z126" s="100"/>
      <c r="AA126" s="100"/>
      <c r="AB126" s="100"/>
      <c r="AC126" s="100"/>
    </row>
    <row r="127" spans="1:29" x14ac:dyDescent="0.3">
      <c r="A127" s="179">
        <v>30</v>
      </c>
      <c r="B127" s="101"/>
      <c r="C127" s="101"/>
      <c r="D127" s="101"/>
      <c r="E127" s="100"/>
      <c r="F127" s="100"/>
      <c r="G127" s="100"/>
      <c r="H127" s="100"/>
      <c r="I127" s="100"/>
      <c r="J127" s="100"/>
      <c r="K127" s="100"/>
      <c r="L127" s="100"/>
      <c r="M127" s="100"/>
      <c r="N127" s="100"/>
      <c r="P127" s="179">
        <v>30</v>
      </c>
      <c r="Q127" s="101"/>
      <c r="R127" s="101"/>
      <c r="S127" s="101"/>
      <c r="T127" s="101"/>
      <c r="U127" s="101"/>
      <c r="V127" s="100"/>
      <c r="W127" s="101"/>
      <c r="X127" s="101"/>
      <c r="Y127" s="100"/>
      <c r="Z127" s="100"/>
      <c r="AA127" s="100"/>
      <c r="AB127" s="100"/>
      <c r="AC127" s="100"/>
    </row>
    <row r="128" spans="1:29" x14ac:dyDescent="0.3">
      <c r="A128" s="179">
        <v>32</v>
      </c>
      <c r="B128" s="101"/>
      <c r="C128" s="101"/>
      <c r="D128" s="101"/>
      <c r="E128" s="100"/>
      <c r="F128" s="100"/>
      <c r="G128" s="100"/>
      <c r="H128" s="100"/>
      <c r="I128" s="100"/>
      <c r="J128" s="100"/>
      <c r="K128" s="100"/>
      <c r="L128" s="100"/>
      <c r="M128" s="100"/>
      <c r="N128" s="100"/>
      <c r="P128" s="179">
        <v>32</v>
      </c>
      <c r="Q128" s="101"/>
      <c r="R128" s="101"/>
      <c r="S128" s="101"/>
      <c r="T128" s="101"/>
      <c r="U128" s="101"/>
      <c r="V128" s="100"/>
      <c r="W128" s="101"/>
      <c r="X128" s="101"/>
      <c r="Y128" s="100"/>
      <c r="Z128" s="100"/>
      <c r="AA128" s="100"/>
      <c r="AB128" s="100"/>
      <c r="AC128" s="100"/>
    </row>
    <row r="129" spans="1:29" x14ac:dyDescent="0.3">
      <c r="A129" s="179">
        <v>36</v>
      </c>
      <c r="B129" s="100"/>
      <c r="C129" s="101"/>
      <c r="D129" s="101"/>
      <c r="E129" s="100"/>
      <c r="F129" s="100"/>
      <c r="G129" s="100"/>
      <c r="H129" s="100"/>
      <c r="I129" s="100"/>
      <c r="J129" s="100"/>
      <c r="K129" s="100"/>
      <c r="L129" s="100"/>
      <c r="M129" s="100"/>
      <c r="N129" s="100"/>
      <c r="P129" s="179">
        <v>36</v>
      </c>
      <c r="Q129" s="100"/>
      <c r="R129" s="101"/>
      <c r="S129" s="101"/>
      <c r="T129" s="101"/>
      <c r="U129" s="101"/>
      <c r="V129" s="100"/>
      <c r="W129" s="101"/>
      <c r="X129" s="101"/>
      <c r="Y129" s="100"/>
      <c r="Z129" s="100"/>
      <c r="AA129" s="100"/>
      <c r="AB129" s="100"/>
      <c r="AC129" s="100"/>
    </row>
    <row r="130" spans="1:29" x14ac:dyDescent="0.3">
      <c r="A130" s="179">
        <v>42</v>
      </c>
      <c r="B130" s="100"/>
      <c r="C130" s="100"/>
      <c r="D130" s="100"/>
      <c r="E130" s="100"/>
      <c r="F130" s="100"/>
      <c r="G130" s="100"/>
      <c r="H130" s="100"/>
      <c r="I130" s="100"/>
      <c r="J130" s="100"/>
      <c r="K130" s="100"/>
      <c r="L130" s="100"/>
      <c r="M130" s="100"/>
      <c r="N130" s="100"/>
      <c r="P130" s="179">
        <v>42</v>
      </c>
      <c r="Q130" s="100"/>
      <c r="R130" s="100"/>
      <c r="S130" s="100"/>
      <c r="T130" s="101"/>
      <c r="U130" s="100"/>
      <c r="V130" s="100"/>
      <c r="W130" s="100"/>
      <c r="X130" s="100"/>
      <c r="Y130" s="100"/>
      <c r="Z130" s="100"/>
      <c r="AA130" s="100"/>
      <c r="AB130" s="100"/>
      <c r="AC130" s="100"/>
    </row>
    <row r="131" spans="1:29" x14ac:dyDescent="0.3">
      <c r="A131" s="179">
        <v>48</v>
      </c>
      <c r="B131" s="100"/>
      <c r="C131" s="100"/>
      <c r="D131" s="100"/>
      <c r="E131" s="100"/>
      <c r="F131" s="100"/>
      <c r="G131" s="100"/>
      <c r="H131" s="100"/>
      <c r="I131" s="100"/>
      <c r="J131" s="100"/>
      <c r="K131" s="100"/>
      <c r="L131" s="100"/>
      <c r="M131" s="100"/>
      <c r="N131" s="100"/>
      <c r="P131" s="179">
        <v>48</v>
      </c>
      <c r="Q131" s="100"/>
      <c r="R131" s="100"/>
      <c r="S131" s="100"/>
      <c r="T131" s="101"/>
      <c r="U131" s="100"/>
      <c r="V131" s="100"/>
      <c r="W131" s="100"/>
      <c r="X131" s="100"/>
      <c r="Y131" s="100"/>
      <c r="Z131" s="100"/>
      <c r="AA131" s="100"/>
      <c r="AB131" s="100"/>
      <c r="AC131" s="100"/>
    </row>
    <row r="132" spans="1:29" x14ac:dyDescent="0.3">
      <c r="A132" s="83"/>
      <c r="B132" s="84"/>
      <c r="C132" s="84"/>
      <c r="D132" s="84"/>
      <c r="E132" s="84"/>
      <c r="F132" s="84"/>
      <c r="G132" s="84"/>
      <c r="H132" s="84"/>
      <c r="I132" s="84"/>
      <c r="J132" s="84"/>
      <c r="K132" s="84"/>
      <c r="L132" s="84"/>
      <c r="M132" s="84"/>
      <c r="N132" s="84"/>
      <c r="P132" s="83"/>
      <c r="Q132" s="84"/>
      <c r="R132" s="84"/>
      <c r="S132" s="84"/>
      <c r="T132" s="84"/>
      <c r="U132" s="84"/>
      <c r="V132" s="84"/>
      <c r="W132" s="84"/>
      <c r="X132" s="84"/>
      <c r="Y132" s="84"/>
      <c r="Z132" s="84"/>
      <c r="AA132" s="84"/>
      <c r="AB132" s="84"/>
      <c r="AC132" s="84"/>
    </row>
    <row r="133" spans="1:29" x14ac:dyDescent="0.3">
      <c r="A133" s="85" t="s">
        <v>750</v>
      </c>
      <c r="B133" s="100" t="s">
        <v>704</v>
      </c>
      <c r="C133" s="100" t="s">
        <v>705</v>
      </c>
      <c r="D133" s="100" t="s">
        <v>706</v>
      </c>
      <c r="E133" s="100" t="s">
        <v>707</v>
      </c>
      <c r="F133" s="100" t="s">
        <v>708</v>
      </c>
      <c r="G133" s="100" t="s">
        <v>709</v>
      </c>
      <c r="H133" s="100" t="s">
        <v>710</v>
      </c>
      <c r="I133" s="100" t="s">
        <v>711</v>
      </c>
      <c r="J133" s="100" t="s">
        <v>712</v>
      </c>
      <c r="K133" s="100" t="s">
        <v>713</v>
      </c>
      <c r="L133" s="100" t="s">
        <v>714</v>
      </c>
      <c r="M133" s="100" t="s">
        <v>715</v>
      </c>
      <c r="N133" s="100" t="s">
        <v>716</v>
      </c>
      <c r="P133" s="86" t="s">
        <v>751</v>
      </c>
      <c r="Q133" s="183" t="s">
        <v>704</v>
      </c>
      <c r="R133" s="183" t="s">
        <v>705</v>
      </c>
      <c r="S133" s="183" t="s">
        <v>706</v>
      </c>
      <c r="T133" s="183" t="s">
        <v>707</v>
      </c>
      <c r="U133" s="183" t="s">
        <v>708</v>
      </c>
      <c r="V133" s="183" t="s">
        <v>709</v>
      </c>
      <c r="W133" s="183" t="s">
        <v>710</v>
      </c>
      <c r="X133" s="183" t="s">
        <v>711</v>
      </c>
      <c r="Y133" s="183" t="s">
        <v>712</v>
      </c>
      <c r="Z133" s="183" t="s">
        <v>713</v>
      </c>
      <c r="AA133" s="183" t="s">
        <v>714</v>
      </c>
      <c r="AB133" s="183" t="s">
        <v>715</v>
      </c>
      <c r="AC133" s="183" t="s">
        <v>716</v>
      </c>
    </row>
    <row r="134" spans="1:29" x14ac:dyDescent="0.3">
      <c r="A134" s="179" t="s">
        <v>718</v>
      </c>
      <c r="B134" s="101">
        <v>0.98</v>
      </c>
      <c r="C134" s="100"/>
      <c r="D134" s="100"/>
      <c r="E134" s="100">
        <v>0.98</v>
      </c>
      <c r="F134" s="100">
        <v>0.98</v>
      </c>
      <c r="G134" s="100"/>
      <c r="H134" s="100">
        <v>0.98</v>
      </c>
      <c r="I134" s="101">
        <v>0.98</v>
      </c>
      <c r="J134" s="101"/>
      <c r="K134" s="100"/>
      <c r="L134" s="101"/>
      <c r="M134" s="101">
        <v>0.98</v>
      </c>
      <c r="N134" s="101">
        <v>0.98</v>
      </c>
      <c r="P134" s="179" t="s">
        <v>718</v>
      </c>
      <c r="Q134" s="183">
        <v>1.1000000000000001</v>
      </c>
      <c r="R134" s="100"/>
      <c r="S134" s="100"/>
      <c r="T134" s="183">
        <v>1.1000000000000001</v>
      </c>
      <c r="U134" s="183">
        <v>1.1000000000000001</v>
      </c>
      <c r="V134" s="100"/>
      <c r="W134" s="183">
        <v>1.1000000000000001</v>
      </c>
      <c r="X134" s="101">
        <v>1.1000000000000001</v>
      </c>
      <c r="Y134" s="100"/>
      <c r="Z134" s="100"/>
      <c r="AA134" s="100"/>
      <c r="AB134" s="101">
        <v>1.1000000000000001</v>
      </c>
      <c r="AC134" s="101">
        <v>1.1000000000000001</v>
      </c>
    </row>
    <row r="135" spans="1:29" x14ac:dyDescent="0.3">
      <c r="A135" s="179" t="s">
        <v>719</v>
      </c>
      <c r="B135" s="101">
        <v>1.32</v>
      </c>
      <c r="C135" s="100"/>
      <c r="D135" s="100"/>
      <c r="E135" s="100">
        <v>1.32</v>
      </c>
      <c r="F135" s="100">
        <v>1.32</v>
      </c>
      <c r="G135" s="100"/>
      <c r="H135" s="100">
        <v>1.32</v>
      </c>
      <c r="I135" s="101">
        <v>1.32</v>
      </c>
      <c r="J135" s="101"/>
      <c r="K135" s="100"/>
      <c r="L135" s="101"/>
      <c r="M135" s="101">
        <v>1.32</v>
      </c>
      <c r="N135" s="101">
        <v>1.32</v>
      </c>
      <c r="P135" s="179" t="s">
        <v>719</v>
      </c>
      <c r="Q135" s="183">
        <v>1.53</v>
      </c>
      <c r="R135" s="100"/>
      <c r="S135" s="100"/>
      <c r="T135" s="183">
        <v>1.53</v>
      </c>
      <c r="U135" s="183">
        <v>1.53</v>
      </c>
      <c r="V135" s="100"/>
      <c r="W135" s="183">
        <v>1.53</v>
      </c>
      <c r="X135" s="101">
        <v>1.53</v>
      </c>
      <c r="Y135" s="100"/>
      <c r="Z135" s="100"/>
      <c r="AA135" s="100"/>
      <c r="AB135" s="101">
        <v>1.53</v>
      </c>
      <c r="AC135" s="101">
        <v>1.53</v>
      </c>
    </row>
    <row r="136" spans="1:29" x14ac:dyDescent="0.3">
      <c r="A136" s="179">
        <v>1</v>
      </c>
      <c r="B136" s="101">
        <v>1.73</v>
      </c>
      <c r="C136" s="100"/>
      <c r="D136" s="100"/>
      <c r="E136" s="100">
        <v>1.73</v>
      </c>
      <c r="F136" s="100">
        <v>1.73</v>
      </c>
      <c r="G136" s="100"/>
      <c r="H136" s="100">
        <v>1.73</v>
      </c>
      <c r="I136" s="101">
        <v>1.73</v>
      </c>
      <c r="J136" s="101"/>
      <c r="K136" s="100"/>
      <c r="L136" s="101"/>
      <c r="M136" s="101">
        <v>1.73</v>
      </c>
      <c r="N136" s="101">
        <v>1.73</v>
      </c>
      <c r="P136" s="179">
        <v>1</v>
      </c>
      <c r="Q136" s="183">
        <v>1.94</v>
      </c>
      <c r="R136" s="100"/>
      <c r="S136" s="100"/>
      <c r="T136" s="183">
        <v>1.94</v>
      </c>
      <c r="U136" s="183">
        <v>1.94</v>
      </c>
      <c r="V136" s="100"/>
      <c r="W136" s="183">
        <v>1.94</v>
      </c>
      <c r="X136" s="101">
        <v>1.94</v>
      </c>
      <c r="Y136" s="100"/>
      <c r="Z136" s="100"/>
      <c r="AA136" s="100"/>
      <c r="AB136" s="101">
        <v>1.94</v>
      </c>
      <c r="AC136" s="101">
        <v>1.94</v>
      </c>
    </row>
    <row r="137" spans="1:29" x14ac:dyDescent="0.3">
      <c r="A137" s="179" t="s">
        <v>720</v>
      </c>
      <c r="B137" s="101">
        <v>2.14</v>
      </c>
      <c r="C137" s="100"/>
      <c r="D137" s="100"/>
      <c r="E137" s="100">
        <v>2.14</v>
      </c>
      <c r="F137" s="100">
        <v>2.14</v>
      </c>
      <c r="G137" s="100"/>
      <c r="H137" s="100">
        <v>2.14</v>
      </c>
      <c r="I137" s="101">
        <v>2.14</v>
      </c>
      <c r="J137" s="101"/>
      <c r="K137" s="100"/>
      <c r="L137" s="101"/>
      <c r="M137" s="101">
        <v>2.14</v>
      </c>
      <c r="N137" s="101">
        <v>2.39</v>
      </c>
      <c r="P137" s="179" t="s">
        <v>720</v>
      </c>
      <c r="Q137" s="183">
        <v>2.4</v>
      </c>
      <c r="R137" s="100"/>
      <c r="S137" s="100"/>
      <c r="T137" s="183">
        <v>2.4</v>
      </c>
      <c r="U137" s="183">
        <v>2.4</v>
      </c>
      <c r="V137" s="100"/>
      <c r="W137" s="183">
        <v>2.4</v>
      </c>
      <c r="X137" s="101">
        <v>2.4</v>
      </c>
      <c r="Y137" s="100"/>
      <c r="Z137" s="100"/>
      <c r="AA137" s="100"/>
      <c r="AB137" s="101">
        <v>2.4</v>
      </c>
      <c r="AC137" s="101">
        <v>2.69</v>
      </c>
    </row>
    <row r="138" spans="1:29" x14ac:dyDescent="0.3">
      <c r="A138" s="179">
        <v>2</v>
      </c>
      <c r="B138" s="101">
        <v>2.54</v>
      </c>
      <c r="C138" s="100"/>
      <c r="D138" s="100"/>
      <c r="E138" s="100">
        <v>2.54</v>
      </c>
      <c r="F138" s="100">
        <v>2.54</v>
      </c>
      <c r="G138" s="100"/>
      <c r="H138" s="100">
        <v>2.54</v>
      </c>
      <c r="I138" s="101">
        <v>2.54</v>
      </c>
      <c r="J138" s="101"/>
      <c r="K138" s="100"/>
      <c r="L138" s="101"/>
      <c r="M138" s="101">
        <v>2.54</v>
      </c>
      <c r="N138" s="101">
        <v>2.85</v>
      </c>
      <c r="P138" s="179">
        <v>2</v>
      </c>
      <c r="Q138" s="183">
        <v>2.84</v>
      </c>
      <c r="R138" s="100"/>
      <c r="S138" s="100"/>
      <c r="T138" s="183">
        <v>2.84</v>
      </c>
      <c r="U138" s="183">
        <v>2.84</v>
      </c>
      <c r="V138" s="100"/>
      <c r="W138" s="183">
        <v>2.84</v>
      </c>
      <c r="X138" s="101">
        <v>2.84</v>
      </c>
      <c r="Y138" s="100"/>
      <c r="Z138" s="100"/>
      <c r="AA138" s="100"/>
      <c r="AB138" s="101">
        <v>2.84</v>
      </c>
      <c r="AC138" s="101">
        <v>3.19</v>
      </c>
    </row>
    <row r="139" spans="1:29" x14ac:dyDescent="0.3">
      <c r="A139" s="179" t="s">
        <v>721</v>
      </c>
      <c r="B139" s="101">
        <v>2.88</v>
      </c>
      <c r="C139" s="100"/>
      <c r="D139" s="100"/>
      <c r="E139" s="100">
        <v>2.88</v>
      </c>
      <c r="F139" s="100">
        <v>2.88</v>
      </c>
      <c r="G139" s="100"/>
      <c r="H139" s="100">
        <v>2.88</v>
      </c>
      <c r="I139" s="101">
        <v>2.88</v>
      </c>
      <c r="J139" s="101"/>
      <c r="K139" s="100"/>
      <c r="L139" s="101"/>
      <c r="M139" s="101">
        <v>2.88</v>
      </c>
      <c r="N139" s="101">
        <v>3.86</v>
      </c>
      <c r="P139" s="179" t="s">
        <v>721</v>
      </c>
      <c r="Q139" s="183">
        <v>3.2</v>
      </c>
      <c r="R139" s="100"/>
      <c r="S139" s="100"/>
      <c r="T139" s="183">
        <v>3.2</v>
      </c>
      <c r="U139" s="183">
        <v>3.2</v>
      </c>
      <c r="V139" s="100"/>
      <c r="W139" s="183">
        <v>3.2</v>
      </c>
      <c r="X139" s="101">
        <v>3.2</v>
      </c>
      <c r="Y139" s="100"/>
      <c r="Z139" s="100"/>
      <c r="AA139" s="100"/>
      <c r="AB139" s="101">
        <v>3.2</v>
      </c>
      <c r="AC139" s="101">
        <v>4.21</v>
      </c>
    </row>
    <row r="140" spans="1:29" x14ac:dyDescent="0.3">
      <c r="A140" s="179">
        <v>3</v>
      </c>
      <c r="B140" s="101">
        <v>3.19</v>
      </c>
      <c r="C140" s="100"/>
      <c r="D140" s="100"/>
      <c r="E140" s="100">
        <v>3.19</v>
      </c>
      <c r="F140" s="100">
        <v>3.19</v>
      </c>
      <c r="G140" s="100"/>
      <c r="H140" s="100">
        <v>3.19</v>
      </c>
      <c r="I140" s="101">
        <v>3.19</v>
      </c>
      <c r="J140" s="101"/>
      <c r="K140" s="100"/>
      <c r="L140" s="101"/>
      <c r="M140" s="101">
        <v>3.55</v>
      </c>
      <c r="N140" s="101">
        <v>4.26</v>
      </c>
      <c r="P140" s="179">
        <v>3</v>
      </c>
      <c r="Q140" s="183">
        <v>3.53</v>
      </c>
      <c r="R140" s="100"/>
      <c r="S140" s="100"/>
      <c r="T140" s="183">
        <v>3.53</v>
      </c>
      <c r="U140" s="183">
        <v>3.53</v>
      </c>
      <c r="V140" s="100"/>
      <c r="W140" s="183">
        <v>3.53</v>
      </c>
      <c r="X140" s="101">
        <v>3.53</v>
      </c>
      <c r="Y140" s="100"/>
      <c r="Z140" s="100"/>
      <c r="AA140" s="100"/>
      <c r="AB140" s="101">
        <v>3.93</v>
      </c>
      <c r="AC140" s="101">
        <v>4.6399999999999997</v>
      </c>
    </row>
    <row r="141" spans="1:29" x14ac:dyDescent="0.3">
      <c r="A141" s="179">
        <v>4</v>
      </c>
      <c r="B141" s="101">
        <v>3.86</v>
      </c>
      <c r="C141" s="100"/>
      <c r="D141" s="100"/>
      <c r="E141" s="100">
        <v>3.86</v>
      </c>
      <c r="F141" s="100">
        <v>3.86</v>
      </c>
      <c r="G141" s="100"/>
      <c r="H141" s="100">
        <v>3.86</v>
      </c>
      <c r="I141" s="101">
        <v>3.86</v>
      </c>
      <c r="J141" s="101"/>
      <c r="K141" s="100">
        <v>4.28</v>
      </c>
      <c r="L141" s="101"/>
      <c r="M141" s="101">
        <v>5.13</v>
      </c>
      <c r="N141" s="101">
        <v>5.73</v>
      </c>
      <c r="P141" s="179">
        <v>4</v>
      </c>
      <c r="Q141" s="183">
        <v>4.2</v>
      </c>
      <c r="R141" s="100"/>
      <c r="S141" s="100"/>
      <c r="T141" s="183">
        <v>4.2</v>
      </c>
      <c r="U141" s="183">
        <v>4.2</v>
      </c>
      <c r="V141" s="100"/>
      <c r="W141" s="183">
        <v>4.2</v>
      </c>
      <c r="X141" s="101">
        <v>4.2</v>
      </c>
      <c r="Y141" s="100"/>
      <c r="Z141" s="101">
        <v>4.66</v>
      </c>
      <c r="AA141" s="100"/>
      <c r="AB141" s="101">
        <v>5.5</v>
      </c>
      <c r="AC141" s="101">
        <v>6.25</v>
      </c>
    </row>
    <row r="142" spans="1:29" x14ac:dyDescent="0.3">
      <c r="A142" s="179">
        <v>6</v>
      </c>
      <c r="B142" s="101">
        <v>5.0199999999999996</v>
      </c>
      <c r="C142" s="100"/>
      <c r="D142" s="100"/>
      <c r="E142" s="100">
        <v>5.0199999999999996</v>
      </c>
      <c r="F142" s="100">
        <v>5.0199999999999996</v>
      </c>
      <c r="G142" s="100"/>
      <c r="H142" s="100">
        <v>5.55</v>
      </c>
      <c r="I142" s="101">
        <v>5.55</v>
      </c>
      <c r="J142" s="100"/>
      <c r="K142" s="100">
        <v>6.66</v>
      </c>
      <c r="L142" s="100"/>
      <c r="M142" s="101">
        <v>7.44</v>
      </c>
      <c r="N142" s="101">
        <v>8.3800000000000008</v>
      </c>
      <c r="P142" s="179">
        <v>6</v>
      </c>
      <c r="Q142" s="183">
        <v>5.47</v>
      </c>
      <c r="R142" s="100"/>
      <c r="S142" s="100"/>
      <c r="T142" s="183">
        <v>5.47</v>
      </c>
      <c r="U142" s="183">
        <v>5.47</v>
      </c>
      <c r="V142" s="100"/>
      <c r="W142" s="183">
        <v>6.07</v>
      </c>
      <c r="X142" s="101">
        <v>6.07</v>
      </c>
      <c r="Y142" s="101"/>
      <c r="Z142" s="101">
        <v>7.17</v>
      </c>
      <c r="AA142" s="100"/>
      <c r="AB142" s="101">
        <v>8.16</v>
      </c>
      <c r="AC142" s="101">
        <v>9.2100000000000009</v>
      </c>
    </row>
    <row r="143" spans="1:29" x14ac:dyDescent="0.3">
      <c r="A143" s="179">
        <v>8</v>
      </c>
      <c r="B143" s="101">
        <v>6.18</v>
      </c>
      <c r="C143" s="101">
        <v>6.18</v>
      </c>
      <c r="D143" s="101">
        <v>6.18</v>
      </c>
      <c r="E143" s="100">
        <v>6.18</v>
      </c>
      <c r="F143" s="100">
        <v>6.18</v>
      </c>
      <c r="G143" s="100">
        <v>6.84</v>
      </c>
      <c r="H143" s="100">
        <v>6.84</v>
      </c>
      <c r="I143" s="101">
        <v>6.84</v>
      </c>
      <c r="J143" s="101">
        <v>8.1999999999999993</v>
      </c>
      <c r="K143" s="100">
        <v>9.16</v>
      </c>
      <c r="L143" s="101">
        <v>10.32</v>
      </c>
      <c r="M143" s="101">
        <v>10.32</v>
      </c>
      <c r="N143" s="101">
        <v>10.32</v>
      </c>
      <c r="P143" s="179">
        <v>8</v>
      </c>
      <c r="Q143" s="183">
        <v>6.72</v>
      </c>
      <c r="R143" s="101">
        <v>6.72</v>
      </c>
      <c r="S143" s="101">
        <v>6.72</v>
      </c>
      <c r="T143" s="183">
        <v>6.72</v>
      </c>
      <c r="U143" s="183">
        <v>6.72</v>
      </c>
      <c r="V143" s="101">
        <v>7.46</v>
      </c>
      <c r="W143" s="183">
        <v>7.46</v>
      </c>
      <c r="X143" s="101">
        <v>7.46</v>
      </c>
      <c r="Y143" s="100">
        <v>8.81</v>
      </c>
      <c r="Z143" s="101">
        <v>10.029999999999999</v>
      </c>
      <c r="AA143" s="101">
        <v>11.34</v>
      </c>
      <c r="AB143" s="101">
        <v>11.34</v>
      </c>
      <c r="AC143" s="101">
        <v>11.34</v>
      </c>
    </row>
    <row r="144" spans="1:29" x14ac:dyDescent="0.3">
      <c r="A144" s="179">
        <v>10</v>
      </c>
      <c r="B144" s="101">
        <v>7.33</v>
      </c>
      <c r="C144" s="101">
        <v>7.33</v>
      </c>
      <c r="D144" s="101">
        <v>7.33</v>
      </c>
      <c r="E144" s="100">
        <v>7.33</v>
      </c>
      <c r="F144" s="100">
        <v>7.33</v>
      </c>
      <c r="G144" s="100">
        <v>8.11</v>
      </c>
      <c r="H144" s="100">
        <v>8.11</v>
      </c>
      <c r="I144" s="101">
        <v>9.73</v>
      </c>
      <c r="J144" s="101">
        <v>10.87</v>
      </c>
      <c r="K144" s="100">
        <v>12.24</v>
      </c>
      <c r="L144" s="101">
        <v>13.89</v>
      </c>
      <c r="M144" s="101">
        <v>16.87</v>
      </c>
      <c r="N144" s="101">
        <v>13.89</v>
      </c>
      <c r="P144" s="179">
        <v>10</v>
      </c>
      <c r="Q144" s="183">
        <v>7.98</v>
      </c>
      <c r="R144" s="101">
        <v>7.98</v>
      </c>
      <c r="S144" s="101">
        <v>7.98</v>
      </c>
      <c r="T144" s="183">
        <v>7.98</v>
      </c>
      <c r="U144" s="183">
        <v>7.98</v>
      </c>
      <c r="V144" s="101">
        <v>8.8699999999999992</v>
      </c>
      <c r="W144" s="183">
        <v>8.8699999999999992</v>
      </c>
      <c r="X144" s="101">
        <v>10.47</v>
      </c>
      <c r="Y144" s="100">
        <v>11.93</v>
      </c>
      <c r="Z144" s="101">
        <v>13.48</v>
      </c>
      <c r="AA144" s="101">
        <v>15.35</v>
      </c>
      <c r="AB144" s="101">
        <v>18.63</v>
      </c>
      <c r="AC144" s="101">
        <v>15.35</v>
      </c>
    </row>
    <row r="145" spans="1:29" x14ac:dyDescent="0.3">
      <c r="A145" s="179">
        <v>12</v>
      </c>
      <c r="B145" s="101">
        <v>8.49</v>
      </c>
      <c r="C145" s="101">
        <v>8.49</v>
      </c>
      <c r="D145" s="101">
        <v>8.49</v>
      </c>
      <c r="E145" s="100">
        <v>8.49</v>
      </c>
      <c r="F145" s="100">
        <v>9.4</v>
      </c>
      <c r="G145" s="100">
        <v>11.27</v>
      </c>
      <c r="H145" s="100">
        <v>9.4</v>
      </c>
      <c r="I145" s="101">
        <v>12.59</v>
      </c>
      <c r="J145" s="101">
        <v>14.18</v>
      </c>
      <c r="K145" s="100">
        <v>16.079999999999998</v>
      </c>
      <c r="L145" s="101">
        <v>19.54</v>
      </c>
      <c r="M145" s="101">
        <v>24.07</v>
      </c>
      <c r="N145" s="101">
        <v>16.079999999999998</v>
      </c>
      <c r="P145" s="179">
        <v>12</v>
      </c>
      <c r="Q145" s="183">
        <v>9.23</v>
      </c>
      <c r="R145" s="101">
        <v>9.23</v>
      </c>
      <c r="S145" s="101">
        <v>9.23</v>
      </c>
      <c r="T145" s="183">
        <v>9.23</v>
      </c>
      <c r="U145" s="183">
        <v>10.26</v>
      </c>
      <c r="V145" s="101">
        <v>12.11</v>
      </c>
      <c r="W145" s="183">
        <v>10.26</v>
      </c>
      <c r="X145" s="101">
        <v>13.8</v>
      </c>
      <c r="Y145" s="100">
        <v>15.61</v>
      </c>
      <c r="Z145" s="101">
        <v>17.77</v>
      </c>
      <c r="AA145" s="101">
        <v>21.57</v>
      </c>
      <c r="AB145" s="101">
        <v>26.72</v>
      </c>
      <c r="AC145" s="101">
        <v>17.77</v>
      </c>
    </row>
    <row r="146" spans="1:29" x14ac:dyDescent="0.3">
      <c r="A146" s="179">
        <v>14</v>
      </c>
      <c r="B146" s="101"/>
      <c r="C146" s="101"/>
      <c r="D146" s="101"/>
      <c r="E146" s="100"/>
      <c r="F146" s="100"/>
      <c r="G146" s="100"/>
      <c r="H146" s="100"/>
      <c r="I146" s="101"/>
      <c r="J146" s="101"/>
      <c r="K146" s="100"/>
      <c r="L146" s="101"/>
      <c r="M146" s="101"/>
      <c r="N146" s="100"/>
      <c r="P146" s="179">
        <v>14</v>
      </c>
      <c r="Q146" s="101"/>
      <c r="R146" s="101"/>
      <c r="S146" s="101"/>
      <c r="T146" s="101"/>
      <c r="U146" s="101"/>
      <c r="V146" s="101"/>
      <c r="W146" s="101"/>
      <c r="X146" s="101"/>
      <c r="Y146" s="100"/>
      <c r="Z146" s="101"/>
      <c r="AA146" s="101"/>
      <c r="AB146" s="101"/>
      <c r="AC146" s="100"/>
    </row>
    <row r="147" spans="1:29" x14ac:dyDescent="0.3">
      <c r="A147" s="179">
        <v>16</v>
      </c>
      <c r="B147" s="101"/>
      <c r="C147" s="101"/>
      <c r="D147" s="101"/>
      <c r="E147" s="100"/>
      <c r="F147" s="100"/>
      <c r="G147" s="100"/>
      <c r="H147" s="100"/>
      <c r="I147" s="101"/>
      <c r="J147" s="101"/>
      <c r="K147" s="100"/>
      <c r="L147" s="101"/>
      <c r="M147" s="101"/>
      <c r="N147" s="100"/>
      <c r="P147" s="179">
        <v>16</v>
      </c>
      <c r="Q147" s="101"/>
      <c r="R147" s="101"/>
      <c r="S147" s="101"/>
      <c r="T147" s="101"/>
      <c r="U147" s="101"/>
      <c r="V147" s="101"/>
      <c r="W147" s="101"/>
      <c r="X147" s="101"/>
      <c r="Y147" s="100"/>
      <c r="Z147" s="101"/>
      <c r="AA147" s="101"/>
      <c r="AB147" s="101"/>
      <c r="AC147" s="100"/>
    </row>
    <row r="148" spans="1:29" x14ac:dyDescent="0.3">
      <c r="A148" s="179">
        <v>18</v>
      </c>
      <c r="B148" s="101"/>
      <c r="C148" s="101"/>
      <c r="D148" s="101"/>
      <c r="E148" s="100"/>
      <c r="F148" s="100"/>
      <c r="G148" s="100"/>
      <c r="H148" s="100"/>
      <c r="I148" s="101"/>
      <c r="J148" s="101"/>
      <c r="K148" s="100"/>
      <c r="L148" s="101"/>
      <c r="M148" s="101"/>
      <c r="N148" s="100"/>
      <c r="P148" s="179">
        <v>18</v>
      </c>
      <c r="Q148" s="101"/>
      <c r="R148" s="101"/>
      <c r="S148" s="101"/>
      <c r="T148" s="101"/>
      <c r="U148" s="101"/>
      <c r="V148" s="101"/>
      <c r="W148" s="101"/>
      <c r="X148" s="101"/>
      <c r="Y148" s="100"/>
      <c r="Z148" s="101"/>
      <c r="AA148" s="101"/>
      <c r="AB148" s="101"/>
      <c r="AC148" s="100"/>
    </row>
    <row r="149" spans="1:29" x14ac:dyDescent="0.3">
      <c r="A149" s="179">
        <v>20</v>
      </c>
      <c r="B149" s="101"/>
      <c r="C149" s="101"/>
      <c r="D149" s="101"/>
      <c r="E149" s="100"/>
      <c r="F149" s="100"/>
      <c r="G149" s="100"/>
      <c r="H149" s="100"/>
      <c r="I149" s="101"/>
      <c r="J149" s="101"/>
      <c r="K149" s="100"/>
      <c r="L149" s="101"/>
      <c r="M149" s="101"/>
      <c r="N149" s="100"/>
      <c r="P149" s="179">
        <v>20</v>
      </c>
      <c r="Q149" s="101"/>
      <c r="R149" s="101"/>
      <c r="S149" s="101"/>
      <c r="T149" s="101"/>
      <c r="U149" s="101"/>
      <c r="V149" s="101"/>
      <c r="W149" s="101"/>
      <c r="X149" s="101"/>
      <c r="Y149" s="100"/>
      <c r="Z149" s="101"/>
      <c r="AA149" s="101"/>
      <c r="AB149" s="101"/>
      <c r="AC149" s="100"/>
    </row>
    <row r="150" spans="1:29" x14ac:dyDescent="0.3">
      <c r="A150" s="179">
        <v>24</v>
      </c>
      <c r="B150" s="101"/>
      <c r="C150" s="101"/>
      <c r="D150" s="101"/>
      <c r="E150" s="100"/>
      <c r="F150" s="100"/>
      <c r="G150" s="100"/>
      <c r="H150" s="100"/>
      <c r="I150" s="101"/>
      <c r="J150" s="101"/>
      <c r="K150" s="100"/>
      <c r="L150" s="101"/>
      <c r="M150" s="101"/>
      <c r="N150" s="100"/>
      <c r="P150" s="179">
        <v>24</v>
      </c>
      <c r="Q150" s="101"/>
      <c r="R150" s="101"/>
      <c r="S150" s="101"/>
      <c r="T150" s="101"/>
      <c r="U150" s="101"/>
      <c r="V150" s="101"/>
      <c r="W150" s="101"/>
      <c r="X150" s="101"/>
      <c r="Y150" s="100"/>
      <c r="Z150" s="101"/>
      <c r="AA150" s="101"/>
      <c r="AB150" s="101"/>
      <c r="AC150" s="100"/>
    </row>
    <row r="151" spans="1:29" x14ac:dyDescent="0.3">
      <c r="A151" s="179">
        <v>26</v>
      </c>
      <c r="B151" s="101"/>
      <c r="C151" s="101"/>
      <c r="D151" s="101"/>
      <c r="E151" s="100"/>
      <c r="F151" s="100"/>
      <c r="G151" s="100"/>
      <c r="H151" s="100"/>
      <c r="I151" s="100"/>
      <c r="J151" s="100"/>
      <c r="K151" s="100"/>
      <c r="L151" s="100"/>
      <c r="M151" s="100"/>
      <c r="N151" s="100"/>
      <c r="P151" s="179">
        <v>26</v>
      </c>
      <c r="Q151" s="101"/>
      <c r="R151" s="101"/>
      <c r="S151" s="101"/>
      <c r="T151" s="101"/>
      <c r="U151" s="101"/>
      <c r="V151" s="100"/>
      <c r="W151" s="101"/>
      <c r="X151" s="101"/>
      <c r="Y151" s="100"/>
      <c r="Z151" s="100"/>
      <c r="AA151" s="100"/>
      <c r="AB151" s="100"/>
      <c r="AC151" s="100"/>
    </row>
    <row r="152" spans="1:29" x14ac:dyDescent="0.3">
      <c r="A152" s="179">
        <v>28</v>
      </c>
      <c r="B152" s="101"/>
      <c r="C152" s="101"/>
      <c r="D152" s="101"/>
      <c r="E152" s="100"/>
      <c r="F152" s="100"/>
      <c r="G152" s="100"/>
      <c r="H152" s="100"/>
      <c r="I152" s="100"/>
      <c r="J152" s="100"/>
      <c r="K152" s="100"/>
      <c r="L152" s="100"/>
      <c r="M152" s="100"/>
      <c r="N152" s="100"/>
      <c r="P152" s="179">
        <v>28</v>
      </c>
      <c r="Q152" s="101"/>
      <c r="R152" s="101"/>
      <c r="S152" s="101"/>
      <c r="T152" s="101"/>
      <c r="U152" s="101"/>
      <c r="V152" s="100"/>
      <c r="W152" s="101"/>
      <c r="X152" s="101"/>
      <c r="Y152" s="100"/>
      <c r="Z152" s="100"/>
      <c r="AA152" s="100"/>
      <c r="AB152" s="100"/>
      <c r="AC152" s="100"/>
    </row>
    <row r="153" spans="1:29" x14ac:dyDescent="0.3">
      <c r="A153" s="179">
        <v>30</v>
      </c>
      <c r="B153" s="101"/>
      <c r="C153" s="101"/>
      <c r="D153" s="101"/>
      <c r="E153" s="100"/>
      <c r="F153" s="100"/>
      <c r="G153" s="100"/>
      <c r="H153" s="100"/>
      <c r="I153" s="100"/>
      <c r="J153" s="100"/>
      <c r="K153" s="100"/>
      <c r="L153" s="100"/>
      <c r="M153" s="100"/>
      <c r="N153" s="100"/>
      <c r="P153" s="179">
        <v>30</v>
      </c>
      <c r="Q153" s="101"/>
      <c r="R153" s="101"/>
      <c r="S153" s="101"/>
      <c r="T153" s="101"/>
      <c r="U153" s="101"/>
      <c r="V153" s="100"/>
      <c r="W153" s="101"/>
      <c r="X153" s="101"/>
      <c r="Y153" s="100"/>
      <c r="Z153" s="100"/>
      <c r="AA153" s="100"/>
      <c r="AB153" s="100"/>
      <c r="AC153" s="100"/>
    </row>
    <row r="154" spans="1:29" x14ac:dyDescent="0.3">
      <c r="A154" s="179">
        <v>32</v>
      </c>
      <c r="B154" s="101"/>
      <c r="C154" s="101"/>
      <c r="D154" s="101"/>
      <c r="E154" s="100"/>
      <c r="F154" s="100"/>
      <c r="G154" s="100"/>
      <c r="H154" s="100"/>
      <c r="I154" s="100"/>
      <c r="J154" s="100"/>
      <c r="K154" s="100"/>
      <c r="L154" s="100"/>
      <c r="M154" s="100"/>
      <c r="N154" s="100"/>
      <c r="P154" s="179">
        <v>32</v>
      </c>
      <c r="Q154" s="101"/>
      <c r="R154" s="101"/>
      <c r="S154" s="101"/>
      <c r="T154" s="101"/>
      <c r="U154" s="101"/>
      <c r="V154" s="100"/>
      <c r="W154" s="101"/>
      <c r="X154" s="101"/>
      <c r="Y154" s="100"/>
      <c r="Z154" s="100"/>
      <c r="AA154" s="100"/>
      <c r="AB154" s="100"/>
      <c r="AC154" s="100"/>
    </row>
    <row r="155" spans="1:29" x14ac:dyDescent="0.3">
      <c r="A155" s="179">
        <v>36</v>
      </c>
      <c r="B155" s="100"/>
      <c r="C155" s="101"/>
      <c r="D155" s="101"/>
      <c r="E155" s="100"/>
      <c r="F155" s="100"/>
      <c r="G155" s="100"/>
      <c r="H155" s="100"/>
      <c r="I155" s="100"/>
      <c r="J155" s="100"/>
      <c r="K155" s="100"/>
      <c r="L155" s="100"/>
      <c r="M155" s="100"/>
      <c r="N155" s="100"/>
      <c r="P155" s="179">
        <v>36</v>
      </c>
      <c r="Q155" s="100"/>
      <c r="R155" s="101"/>
      <c r="S155" s="101"/>
      <c r="T155" s="101"/>
      <c r="U155" s="101"/>
      <c r="V155" s="100"/>
      <c r="W155" s="101"/>
      <c r="X155" s="101"/>
      <c r="Y155" s="100"/>
      <c r="Z155" s="100"/>
      <c r="AA155" s="100"/>
      <c r="AB155" s="100"/>
      <c r="AC155" s="100"/>
    </row>
    <row r="156" spans="1:29" x14ac:dyDescent="0.3">
      <c r="A156" s="179">
        <v>42</v>
      </c>
      <c r="B156" s="100"/>
      <c r="C156" s="100"/>
      <c r="D156" s="100"/>
      <c r="E156" s="100"/>
      <c r="F156" s="100"/>
      <c r="G156" s="100"/>
      <c r="H156" s="100"/>
      <c r="I156" s="100"/>
      <c r="J156" s="100"/>
      <c r="K156" s="100"/>
      <c r="L156" s="100"/>
      <c r="M156" s="100"/>
      <c r="N156" s="100"/>
      <c r="P156" s="179">
        <v>42</v>
      </c>
      <c r="Q156" s="100"/>
      <c r="R156" s="100"/>
      <c r="S156" s="100"/>
      <c r="T156" s="101"/>
      <c r="U156" s="100"/>
      <c r="V156" s="100"/>
      <c r="W156" s="100"/>
      <c r="X156" s="100"/>
      <c r="Y156" s="100"/>
      <c r="Z156" s="100"/>
      <c r="AA156" s="100"/>
      <c r="AB156" s="100"/>
      <c r="AC156" s="100"/>
    </row>
    <row r="157" spans="1:29" x14ac:dyDescent="0.3">
      <c r="A157" s="179">
        <v>48</v>
      </c>
      <c r="B157" s="100"/>
      <c r="C157" s="100"/>
      <c r="D157" s="100"/>
      <c r="E157" s="100"/>
      <c r="F157" s="100"/>
      <c r="G157" s="100"/>
      <c r="H157" s="100"/>
      <c r="I157" s="100"/>
      <c r="J157" s="100"/>
      <c r="K157" s="100"/>
      <c r="L157" s="100"/>
      <c r="M157" s="100"/>
      <c r="N157" s="100"/>
      <c r="P157" s="179">
        <v>48</v>
      </c>
      <c r="Q157" s="100"/>
      <c r="R157" s="100"/>
      <c r="S157" s="100"/>
      <c r="T157" s="101"/>
      <c r="U157" s="100"/>
      <c r="V157" s="100"/>
      <c r="W157" s="100"/>
      <c r="X157" s="100"/>
      <c r="Y157" s="100"/>
      <c r="Z157" s="100"/>
      <c r="AA157" s="100"/>
      <c r="AB157" s="100"/>
      <c r="AC157" s="100"/>
    </row>
    <row r="158" spans="1:29" x14ac:dyDescent="0.3">
      <c r="A158" s="83"/>
      <c r="B158" s="84"/>
      <c r="C158" s="84"/>
      <c r="D158" s="84"/>
      <c r="E158" s="84"/>
      <c r="F158" s="84"/>
      <c r="G158" s="84"/>
      <c r="H158" s="84"/>
      <c r="I158" s="84"/>
      <c r="J158" s="84"/>
      <c r="K158" s="84"/>
      <c r="L158" s="84"/>
      <c r="M158" s="84"/>
      <c r="N158" s="84"/>
      <c r="P158" s="83"/>
      <c r="Q158" s="84"/>
      <c r="R158" s="84"/>
      <c r="S158" s="84"/>
      <c r="T158" s="84"/>
      <c r="U158" s="84"/>
      <c r="V158" s="84"/>
      <c r="W158" s="84"/>
      <c r="X158" s="84"/>
      <c r="Y158" s="84"/>
      <c r="Z158" s="84"/>
      <c r="AA158" s="84"/>
      <c r="AB158" s="84"/>
      <c r="AC158" s="84"/>
    </row>
    <row r="159" spans="1:29" x14ac:dyDescent="0.3">
      <c r="A159" s="85" t="s">
        <v>752</v>
      </c>
      <c r="B159" s="100" t="s">
        <v>704</v>
      </c>
      <c r="C159" s="100" t="s">
        <v>705</v>
      </c>
      <c r="D159" s="100" t="s">
        <v>706</v>
      </c>
      <c r="E159" s="100" t="s">
        <v>707</v>
      </c>
      <c r="F159" s="100" t="s">
        <v>708</v>
      </c>
      <c r="G159" s="100" t="s">
        <v>709</v>
      </c>
      <c r="H159" s="100" t="s">
        <v>710</v>
      </c>
      <c r="I159" s="100" t="s">
        <v>711</v>
      </c>
      <c r="J159" s="100" t="s">
        <v>712</v>
      </c>
      <c r="K159" s="100" t="s">
        <v>713</v>
      </c>
      <c r="L159" s="100" t="s">
        <v>714</v>
      </c>
      <c r="M159" s="100" t="s">
        <v>715</v>
      </c>
      <c r="N159" s="100" t="s">
        <v>716</v>
      </c>
      <c r="P159" s="86" t="s">
        <v>753</v>
      </c>
      <c r="Q159" s="183" t="s">
        <v>704</v>
      </c>
      <c r="R159" s="183" t="s">
        <v>705</v>
      </c>
      <c r="S159" s="183" t="s">
        <v>706</v>
      </c>
      <c r="T159" s="183" t="s">
        <v>707</v>
      </c>
      <c r="U159" s="183" t="s">
        <v>708</v>
      </c>
      <c r="V159" s="183" t="s">
        <v>709</v>
      </c>
      <c r="W159" s="183" t="s">
        <v>710</v>
      </c>
      <c r="X159" s="183" t="s">
        <v>711</v>
      </c>
      <c r="Y159" s="183" t="s">
        <v>712</v>
      </c>
      <c r="Z159" s="183" t="s">
        <v>713</v>
      </c>
      <c r="AA159" s="183" t="s">
        <v>714</v>
      </c>
      <c r="AB159" s="183" t="s">
        <v>715</v>
      </c>
      <c r="AC159" s="183" t="s">
        <v>716</v>
      </c>
    </row>
    <row r="160" spans="1:29" x14ac:dyDescent="0.3">
      <c r="A160" s="179" t="s">
        <v>718</v>
      </c>
      <c r="B160" s="101">
        <v>1.1599999999999999</v>
      </c>
      <c r="C160" s="100"/>
      <c r="D160" s="100"/>
      <c r="E160" s="100">
        <v>1.1599999999999999</v>
      </c>
      <c r="F160" s="100">
        <v>1.1599999999999999</v>
      </c>
      <c r="G160" s="100"/>
      <c r="H160" s="100">
        <v>1.1599999999999999</v>
      </c>
      <c r="I160" s="101">
        <v>1.1599999999999999</v>
      </c>
      <c r="J160" s="101"/>
      <c r="K160" s="100"/>
      <c r="L160" s="101"/>
      <c r="M160" s="101">
        <v>1.1599999999999999</v>
      </c>
      <c r="N160" s="101">
        <v>1.1599999999999999</v>
      </c>
      <c r="P160" s="179" t="s">
        <v>718</v>
      </c>
      <c r="Q160" s="183">
        <v>1.26</v>
      </c>
      <c r="R160" s="100"/>
      <c r="S160" s="100"/>
      <c r="T160" s="183">
        <v>1.26</v>
      </c>
      <c r="U160" s="183">
        <v>1.26</v>
      </c>
      <c r="V160" s="100"/>
      <c r="W160" s="183">
        <v>1.26</v>
      </c>
      <c r="X160" s="101">
        <v>1.26</v>
      </c>
      <c r="Y160" s="100"/>
      <c r="Z160" s="100"/>
      <c r="AA160" s="100"/>
      <c r="AB160" s="101">
        <v>1.26</v>
      </c>
      <c r="AC160" s="101">
        <v>1.26</v>
      </c>
    </row>
    <row r="161" spans="1:29" x14ac:dyDescent="0.3">
      <c r="A161" s="179" t="s">
        <v>719</v>
      </c>
      <c r="B161" s="101">
        <v>1.62</v>
      </c>
      <c r="C161" s="100"/>
      <c r="D161" s="100"/>
      <c r="E161" s="100">
        <v>1.62</v>
      </c>
      <c r="F161" s="100">
        <v>1.62</v>
      </c>
      <c r="G161" s="100"/>
      <c r="H161" s="100">
        <v>1.62</v>
      </c>
      <c r="I161" s="101">
        <v>1.62</v>
      </c>
      <c r="J161" s="101"/>
      <c r="K161" s="100"/>
      <c r="L161" s="101"/>
      <c r="M161" s="101">
        <v>1.62</v>
      </c>
      <c r="N161" s="101">
        <v>1.62</v>
      </c>
      <c r="P161" s="179" t="s">
        <v>719</v>
      </c>
      <c r="Q161" s="183">
        <v>1.76</v>
      </c>
      <c r="R161" s="100"/>
      <c r="S161" s="100"/>
      <c r="T161" s="183">
        <v>1.76</v>
      </c>
      <c r="U161" s="183">
        <v>1.76</v>
      </c>
      <c r="V161" s="100"/>
      <c r="W161" s="183">
        <v>1.76</v>
      </c>
      <c r="X161" s="101">
        <v>1.76</v>
      </c>
      <c r="Y161" s="100"/>
      <c r="Z161" s="100"/>
      <c r="AA161" s="100"/>
      <c r="AB161" s="101">
        <v>1.76</v>
      </c>
      <c r="AC161" s="101">
        <v>1.76</v>
      </c>
    </row>
    <row r="162" spans="1:29" x14ac:dyDescent="0.3">
      <c r="A162" s="179">
        <v>1</v>
      </c>
      <c r="B162" s="101">
        <v>2.12</v>
      </c>
      <c r="C162" s="100"/>
      <c r="D162" s="100"/>
      <c r="E162" s="100">
        <v>2.12</v>
      </c>
      <c r="F162" s="100">
        <v>2.12</v>
      </c>
      <c r="G162" s="100"/>
      <c r="H162" s="100">
        <v>2.12</v>
      </c>
      <c r="I162" s="101">
        <v>2.12</v>
      </c>
      <c r="J162" s="101"/>
      <c r="K162" s="100"/>
      <c r="L162" s="101"/>
      <c r="M162" s="101">
        <v>2.12</v>
      </c>
      <c r="N162" s="101">
        <v>2.12</v>
      </c>
      <c r="P162" s="179">
        <v>1</v>
      </c>
      <c r="Q162" s="183">
        <v>2.2599999999999998</v>
      </c>
      <c r="R162" s="100"/>
      <c r="S162" s="100"/>
      <c r="T162" s="183">
        <v>2.2599999999999998</v>
      </c>
      <c r="U162" s="183">
        <v>2.2599999999999998</v>
      </c>
      <c r="V162" s="100"/>
      <c r="W162" s="183">
        <v>2.2599999999999998</v>
      </c>
      <c r="X162" s="101">
        <v>2.2599999999999998</v>
      </c>
      <c r="Y162" s="100"/>
      <c r="Z162" s="100"/>
      <c r="AA162" s="100"/>
      <c r="AB162" s="101">
        <v>2.2599999999999998</v>
      </c>
      <c r="AC162" s="101">
        <v>2.2599999999999998</v>
      </c>
    </row>
    <row r="163" spans="1:29" x14ac:dyDescent="0.3">
      <c r="A163" s="179" t="s">
        <v>720</v>
      </c>
      <c r="B163" s="101">
        <v>2.62</v>
      </c>
      <c r="C163" s="100"/>
      <c r="D163" s="100"/>
      <c r="E163" s="100">
        <v>2.62</v>
      </c>
      <c r="F163" s="100">
        <v>2.62</v>
      </c>
      <c r="G163" s="100"/>
      <c r="H163" s="100">
        <v>2.62</v>
      </c>
      <c r="I163" s="101">
        <v>2.62</v>
      </c>
      <c r="J163" s="101"/>
      <c r="K163" s="100"/>
      <c r="L163" s="101"/>
      <c r="M163" s="101">
        <v>2.62</v>
      </c>
      <c r="N163" s="101">
        <v>2.97</v>
      </c>
      <c r="P163" s="179" t="s">
        <v>720</v>
      </c>
      <c r="Q163" s="183">
        <v>2.79</v>
      </c>
      <c r="R163" s="100"/>
      <c r="S163" s="100"/>
      <c r="T163" s="183">
        <v>2.79</v>
      </c>
      <c r="U163" s="183">
        <v>2.79</v>
      </c>
      <c r="V163" s="100"/>
      <c r="W163" s="183">
        <v>2.79</v>
      </c>
      <c r="X163" s="101">
        <v>2.79</v>
      </c>
      <c r="Y163" s="100"/>
      <c r="Z163" s="100"/>
      <c r="AA163" s="100"/>
      <c r="AB163" s="101">
        <v>2.79</v>
      </c>
      <c r="AC163" s="101">
        <v>3.17</v>
      </c>
    </row>
    <row r="164" spans="1:29" x14ac:dyDescent="0.3">
      <c r="A164" s="179">
        <v>2</v>
      </c>
      <c r="B164" s="101">
        <v>3.11</v>
      </c>
      <c r="C164" s="100"/>
      <c r="D164" s="100"/>
      <c r="E164" s="100">
        <v>3.11</v>
      </c>
      <c r="F164" s="100">
        <v>3.11</v>
      </c>
      <c r="G164" s="100"/>
      <c r="H164" s="100">
        <v>3.11</v>
      </c>
      <c r="I164" s="101">
        <v>3.11</v>
      </c>
      <c r="J164" s="101"/>
      <c r="K164" s="100"/>
      <c r="L164" s="101"/>
      <c r="M164" s="101">
        <v>3.11</v>
      </c>
      <c r="N164" s="101">
        <v>3.53</v>
      </c>
      <c r="P164" s="179">
        <v>2</v>
      </c>
      <c r="Q164" s="183">
        <v>3.32</v>
      </c>
      <c r="R164" s="100"/>
      <c r="S164" s="100"/>
      <c r="T164" s="183">
        <v>3.32</v>
      </c>
      <c r="U164" s="183">
        <v>3.32</v>
      </c>
      <c r="V164" s="100"/>
      <c r="W164" s="183">
        <v>3.32</v>
      </c>
      <c r="X164" s="101">
        <v>3.32</v>
      </c>
      <c r="Y164" s="100"/>
      <c r="Z164" s="100"/>
      <c r="AA164" s="100"/>
      <c r="AB164" s="101">
        <v>3.32</v>
      </c>
      <c r="AC164" s="101">
        <v>3.76</v>
      </c>
    </row>
    <row r="165" spans="1:29" x14ac:dyDescent="0.3">
      <c r="A165" s="179" t="s">
        <v>721</v>
      </c>
      <c r="B165" s="101">
        <v>3.5</v>
      </c>
      <c r="C165" s="100"/>
      <c r="D165" s="100"/>
      <c r="E165" s="100">
        <v>3.5</v>
      </c>
      <c r="F165" s="100">
        <v>3.5</v>
      </c>
      <c r="G165" s="100"/>
      <c r="H165" s="100">
        <v>3.5</v>
      </c>
      <c r="I165" s="101">
        <v>3.5</v>
      </c>
      <c r="J165" s="101"/>
      <c r="K165" s="100"/>
      <c r="L165" s="101"/>
      <c r="M165" s="101">
        <v>3.5</v>
      </c>
      <c r="N165" s="101">
        <v>4.74</v>
      </c>
      <c r="P165" s="179" t="s">
        <v>721</v>
      </c>
      <c r="Q165" s="183">
        <v>3.71</v>
      </c>
      <c r="R165" s="100"/>
      <c r="S165" s="100"/>
      <c r="T165" s="183">
        <v>3.71</v>
      </c>
      <c r="U165" s="183">
        <v>3.71</v>
      </c>
      <c r="V165" s="100"/>
      <c r="W165" s="183">
        <v>3.71</v>
      </c>
      <c r="X165" s="101">
        <v>3.71</v>
      </c>
      <c r="Y165" s="100"/>
      <c r="Z165" s="100"/>
      <c r="AA165" s="100"/>
      <c r="AB165" s="101">
        <v>3.71</v>
      </c>
      <c r="AC165" s="101">
        <v>4.93</v>
      </c>
    </row>
    <row r="166" spans="1:29" x14ac:dyDescent="0.3">
      <c r="A166" s="179">
        <v>3</v>
      </c>
      <c r="B166" s="101">
        <v>3.86</v>
      </c>
      <c r="C166" s="100"/>
      <c r="D166" s="100"/>
      <c r="E166" s="100">
        <v>3.86</v>
      </c>
      <c r="F166" s="100">
        <v>3.86</v>
      </c>
      <c r="G166" s="100"/>
      <c r="H166" s="100">
        <v>3.86</v>
      </c>
      <c r="I166" s="101">
        <v>3.86</v>
      </c>
      <c r="J166" s="101"/>
      <c r="K166" s="100"/>
      <c r="L166" s="101"/>
      <c r="M166" s="101">
        <v>4.3600000000000003</v>
      </c>
      <c r="N166" s="101">
        <v>5.23</v>
      </c>
      <c r="P166" s="179">
        <v>3</v>
      </c>
      <c r="Q166" s="183">
        <v>4.08</v>
      </c>
      <c r="R166" s="100"/>
      <c r="S166" s="100"/>
      <c r="T166" s="183">
        <v>4.08</v>
      </c>
      <c r="U166" s="183">
        <v>4.08</v>
      </c>
      <c r="V166" s="100"/>
      <c r="W166" s="183">
        <v>4.08</v>
      </c>
      <c r="X166" s="101">
        <v>4.08</v>
      </c>
      <c r="Y166" s="100"/>
      <c r="Z166" s="100"/>
      <c r="AA166" s="100"/>
      <c r="AB166" s="101">
        <v>4.5999999999999996</v>
      </c>
      <c r="AC166" s="101">
        <v>5.41</v>
      </c>
    </row>
    <row r="167" spans="1:29" x14ac:dyDescent="0.3">
      <c r="A167" s="179">
        <v>4</v>
      </c>
      <c r="B167" s="101">
        <v>4.6100000000000003</v>
      </c>
      <c r="C167" s="100"/>
      <c r="D167" s="100"/>
      <c r="E167" s="100">
        <v>4.6100000000000003</v>
      </c>
      <c r="F167" s="100">
        <v>4.6100000000000003</v>
      </c>
      <c r="G167" s="100"/>
      <c r="H167" s="100">
        <v>4.6100000000000003</v>
      </c>
      <c r="I167" s="101">
        <v>4.6100000000000003</v>
      </c>
      <c r="J167" s="101"/>
      <c r="K167" s="100">
        <v>5.17</v>
      </c>
      <c r="L167" s="101"/>
      <c r="M167" s="101">
        <v>6.21</v>
      </c>
      <c r="N167" s="101">
        <v>7.02</v>
      </c>
      <c r="P167" s="179">
        <v>4</v>
      </c>
      <c r="Q167" s="183">
        <v>4.83</v>
      </c>
      <c r="R167" s="100"/>
      <c r="S167" s="100"/>
      <c r="T167" s="183">
        <v>4.83</v>
      </c>
      <c r="U167" s="183">
        <v>4.83</v>
      </c>
      <c r="V167" s="100"/>
      <c r="W167" s="183">
        <v>4.83</v>
      </c>
      <c r="X167" s="101">
        <v>4.83</v>
      </c>
      <c r="Y167" s="100"/>
      <c r="Z167" s="101">
        <v>5.42</v>
      </c>
      <c r="AA167" s="100"/>
      <c r="AB167" s="101">
        <v>6.38</v>
      </c>
      <c r="AC167" s="101">
        <v>7.35</v>
      </c>
    </row>
    <row r="168" spans="1:29" x14ac:dyDescent="0.3">
      <c r="A168" s="179">
        <v>6</v>
      </c>
      <c r="B168" s="101">
        <v>5.5</v>
      </c>
      <c r="C168" s="100"/>
      <c r="D168" s="100"/>
      <c r="E168" s="100">
        <v>5.5</v>
      </c>
      <c r="F168" s="100">
        <v>5.5</v>
      </c>
      <c r="G168" s="100"/>
      <c r="H168" s="100">
        <v>6.13</v>
      </c>
      <c r="I168" s="101">
        <v>6.13</v>
      </c>
      <c r="J168" s="100"/>
      <c r="K168" s="100">
        <v>7.36</v>
      </c>
      <c r="L168" s="100"/>
      <c r="M168" s="101">
        <v>8.27</v>
      </c>
      <c r="N168" s="101">
        <v>9.3800000000000008</v>
      </c>
      <c r="P168" s="179">
        <v>6</v>
      </c>
      <c r="Q168" s="183">
        <v>6.11</v>
      </c>
      <c r="R168" s="100"/>
      <c r="S168" s="100"/>
      <c r="T168" s="183">
        <v>6.11</v>
      </c>
      <c r="U168" s="183">
        <v>6.11</v>
      </c>
      <c r="V168" s="100"/>
      <c r="W168" s="183">
        <v>6.83</v>
      </c>
      <c r="X168" s="101">
        <v>6.83</v>
      </c>
      <c r="Y168" s="101"/>
      <c r="Z168" s="101">
        <v>8.06</v>
      </c>
      <c r="AA168" s="100"/>
      <c r="AB168" s="101">
        <v>9.26</v>
      </c>
      <c r="AC168" s="101">
        <v>10.53</v>
      </c>
    </row>
    <row r="169" spans="1:29" x14ac:dyDescent="0.3">
      <c r="A169" s="179">
        <v>8</v>
      </c>
      <c r="B169" s="101">
        <v>6.39</v>
      </c>
      <c r="C169" s="101">
        <v>6.39</v>
      </c>
      <c r="D169" s="101">
        <v>6.39</v>
      </c>
      <c r="E169" s="100">
        <v>6.39</v>
      </c>
      <c r="F169" s="100">
        <v>6.39</v>
      </c>
      <c r="G169" s="100">
        <v>7.1</v>
      </c>
      <c r="H169" s="100">
        <v>7.1</v>
      </c>
      <c r="I169" s="101">
        <v>7.1</v>
      </c>
      <c r="J169" s="101">
        <v>8.52</v>
      </c>
      <c r="K169" s="100">
        <v>9.5399999999999991</v>
      </c>
      <c r="L169" s="101">
        <v>10.77</v>
      </c>
      <c r="M169" s="101">
        <v>10.77</v>
      </c>
      <c r="N169" s="101">
        <v>10.77</v>
      </c>
      <c r="P169" s="179">
        <v>8</v>
      </c>
      <c r="Q169" s="183">
        <v>7.35</v>
      </c>
      <c r="R169" s="101">
        <v>7.35</v>
      </c>
      <c r="S169" s="101">
        <v>7.35</v>
      </c>
      <c r="T169" s="183">
        <v>7.35</v>
      </c>
      <c r="U169" s="183">
        <v>7.35</v>
      </c>
      <c r="V169" s="101">
        <v>8.2200000000000006</v>
      </c>
      <c r="W169" s="183">
        <v>8.2200000000000006</v>
      </c>
      <c r="X169" s="101">
        <v>8.2200000000000006</v>
      </c>
      <c r="Y169" s="100">
        <v>9.69</v>
      </c>
      <c r="Z169" s="101">
        <v>11.13</v>
      </c>
      <c r="AA169" s="101">
        <v>12.65</v>
      </c>
      <c r="AB169" s="101">
        <v>12.65</v>
      </c>
      <c r="AC169" s="101">
        <v>12.65</v>
      </c>
    </row>
    <row r="170" spans="1:29" x14ac:dyDescent="0.3">
      <c r="A170" s="179">
        <v>10</v>
      </c>
      <c r="B170" s="101"/>
      <c r="C170" s="101"/>
      <c r="D170" s="101"/>
      <c r="E170" s="100"/>
      <c r="F170" s="100"/>
      <c r="G170" s="100"/>
      <c r="H170" s="100"/>
      <c r="I170" s="101"/>
      <c r="J170" s="101"/>
      <c r="K170" s="100"/>
      <c r="L170" s="101"/>
      <c r="M170" s="101"/>
      <c r="N170" s="101"/>
      <c r="P170" s="179">
        <v>10</v>
      </c>
      <c r="Q170" s="101"/>
      <c r="R170" s="101"/>
      <c r="S170" s="101"/>
      <c r="T170" s="101"/>
      <c r="U170" s="101"/>
      <c r="V170" s="101"/>
      <c r="W170" s="101"/>
      <c r="X170" s="101"/>
      <c r="Y170" s="100"/>
      <c r="Z170" s="101"/>
      <c r="AA170" s="101"/>
      <c r="AB170" s="101"/>
      <c r="AC170" s="101"/>
    </row>
    <row r="171" spans="1:29" x14ac:dyDescent="0.3">
      <c r="A171" s="179">
        <v>12</v>
      </c>
      <c r="B171" s="101"/>
      <c r="C171" s="101"/>
      <c r="D171" s="101"/>
      <c r="E171" s="100"/>
      <c r="F171" s="100"/>
      <c r="G171" s="100"/>
      <c r="H171" s="100"/>
      <c r="I171" s="101"/>
      <c r="J171" s="101"/>
      <c r="K171" s="100"/>
      <c r="L171" s="101"/>
      <c r="M171" s="101"/>
      <c r="N171" s="101"/>
      <c r="P171" s="179">
        <v>12</v>
      </c>
      <c r="Q171" s="101"/>
      <c r="R171" s="101"/>
      <c r="S171" s="101"/>
      <c r="T171" s="101"/>
      <c r="U171" s="101"/>
      <c r="V171" s="101"/>
      <c r="W171" s="101"/>
      <c r="X171" s="101"/>
      <c r="Y171" s="100"/>
      <c r="Z171" s="101"/>
      <c r="AA171" s="101"/>
      <c r="AB171" s="101"/>
      <c r="AC171" s="101"/>
    </row>
    <row r="172" spans="1:29" x14ac:dyDescent="0.3">
      <c r="A172" s="179">
        <v>14</v>
      </c>
      <c r="B172" s="101"/>
      <c r="C172" s="101"/>
      <c r="D172" s="101"/>
      <c r="E172" s="100"/>
      <c r="F172" s="100"/>
      <c r="G172" s="100"/>
      <c r="H172" s="100"/>
      <c r="I172" s="101"/>
      <c r="J172" s="101"/>
      <c r="K172" s="100"/>
      <c r="L172" s="101"/>
      <c r="M172" s="101"/>
      <c r="N172" s="100"/>
      <c r="P172" s="179">
        <v>14</v>
      </c>
      <c r="Q172" s="101"/>
      <c r="R172" s="101"/>
      <c r="S172" s="101"/>
      <c r="T172" s="101"/>
      <c r="U172" s="101"/>
      <c r="V172" s="101"/>
      <c r="W172" s="101"/>
      <c r="X172" s="101"/>
      <c r="Y172" s="100"/>
      <c r="Z172" s="101"/>
      <c r="AA172" s="101"/>
      <c r="AB172" s="101"/>
      <c r="AC172" s="100"/>
    </row>
    <row r="173" spans="1:29" x14ac:dyDescent="0.3">
      <c r="A173" s="179">
        <v>16</v>
      </c>
      <c r="B173" s="101"/>
      <c r="C173" s="101"/>
      <c r="D173" s="101"/>
      <c r="E173" s="100"/>
      <c r="F173" s="100"/>
      <c r="G173" s="100"/>
      <c r="H173" s="100"/>
      <c r="I173" s="101"/>
      <c r="J173" s="101"/>
      <c r="K173" s="100"/>
      <c r="L173" s="101"/>
      <c r="M173" s="101"/>
      <c r="N173" s="100"/>
      <c r="P173" s="179">
        <v>16</v>
      </c>
      <c r="Q173" s="101"/>
      <c r="R173" s="101"/>
      <c r="S173" s="101"/>
      <c r="T173" s="101"/>
      <c r="U173" s="101"/>
      <c r="V173" s="101"/>
      <c r="W173" s="101"/>
      <c r="X173" s="101"/>
      <c r="Y173" s="100"/>
      <c r="Z173" s="101"/>
      <c r="AA173" s="101"/>
      <c r="AB173" s="101"/>
      <c r="AC173" s="100"/>
    </row>
    <row r="174" spans="1:29" x14ac:dyDescent="0.3">
      <c r="A174" s="179">
        <v>18</v>
      </c>
      <c r="B174" s="101"/>
      <c r="C174" s="101"/>
      <c r="D174" s="101"/>
      <c r="E174" s="100"/>
      <c r="F174" s="100"/>
      <c r="G174" s="100"/>
      <c r="H174" s="100"/>
      <c r="I174" s="101"/>
      <c r="J174" s="101"/>
      <c r="K174" s="100"/>
      <c r="L174" s="101"/>
      <c r="M174" s="101"/>
      <c r="N174" s="100"/>
      <c r="P174" s="179">
        <v>18</v>
      </c>
      <c r="Q174" s="101"/>
      <c r="R174" s="101"/>
      <c r="S174" s="101"/>
      <c r="T174" s="101"/>
      <c r="U174" s="101"/>
      <c r="V174" s="101"/>
      <c r="W174" s="101"/>
      <c r="X174" s="101"/>
      <c r="Y174" s="100"/>
      <c r="Z174" s="101"/>
      <c r="AA174" s="101"/>
      <c r="AB174" s="101"/>
      <c r="AC174" s="100"/>
    </row>
    <row r="175" spans="1:29" x14ac:dyDescent="0.3">
      <c r="A175" s="179">
        <v>20</v>
      </c>
      <c r="B175" s="101"/>
      <c r="C175" s="101"/>
      <c r="D175" s="101"/>
      <c r="E175" s="100"/>
      <c r="F175" s="100"/>
      <c r="G175" s="100"/>
      <c r="H175" s="100"/>
      <c r="I175" s="101"/>
      <c r="J175" s="101"/>
      <c r="K175" s="100"/>
      <c r="L175" s="101"/>
      <c r="M175" s="101"/>
      <c r="N175" s="100"/>
      <c r="P175" s="179">
        <v>20</v>
      </c>
      <c r="Q175" s="101"/>
      <c r="R175" s="101"/>
      <c r="S175" s="101"/>
      <c r="T175" s="101"/>
      <c r="U175" s="101"/>
      <c r="V175" s="101"/>
      <c r="W175" s="101"/>
      <c r="X175" s="101"/>
      <c r="Y175" s="100"/>
      <c r="Z175" s="101"/>
      <c r="AA175" s="101"/>
      <c r="AB175" s="101"/>
      <c r="AC175" s="100"/>
    </row>
    <row r="176" spans="1:29" x14ac:dyDescent="0.3">
      <c r="A176" s="179">
        <v>24</v>
      </c>
      <c r="B176" s="101"/>
      <c r="C176" s="101"/>
      <c r="D176" s="101"/>
      <c r="E176" s="100"/>
      <c r="F176" s="100"/>
      <c r="G176" s="100"/>
      <c r="H176" s="100"/>
      <c r="I176" s="101"/>
      <c r="J176" s="101"/>
      <c r="K176" s="100"/>
      <c r="L176" s="101"/>
      <c r="M176" s="101"/>
      <c r="N176" s="100"/>
      <c r="P176" s="179">
        <v>24</v>
      </c>
      <c r="Q176" s="101"/>
      <c r="R176" s="101"/>
      <c r="S176" s="101"/>
      <c r="T176" s="101"/>
      <c r="U176" s="101"/>
      <c r="V176" s="101"/>
      <c r="W176" s="101"/>
      <c r="X176" s="101"/>
      <c r="Y176" s="100"/>
      <c r="Z176" s="101"/>
      <c r="AA176" s="101"/>
      <c r="AB176" s="101"/>
      <c r="AC176" s="100"/>
    </row>
    <row r="177" spans="1:29" x14ac:dyDescent="0.3">
      <c r="A177" s="179">
        <v>26</v>
      </c>
      <c r="B177" s="101"/>
      <c r="C177" s="101"/>
      <c r="D177" s="101"/>
      <c r="E177" s="100"/>
      <c r="F177" s="100"/>
      <c r="G177" s="100"/>
      <c r="H177" s="100"/>
      <c r="I177" s="100"/>
      <c r="J177" s="100"/>
      <c r="K177" s="100"/>
      <c r="L177" s="100"/>
      <c r="M177" s="100"/>
      <c r="N177" s="100"/>
      <c r="P177" s="179">
        <v>26</v>
      </c>
      <c r="Q177" s="101"/>
      <c r="R177" s="101"/>
      <c r="S177" s="101"/>
      <c r="T177" s="101"/>
      <c r="U177" s="101"/>
      <c r="V177" s="100"/>
      <c r="W177" s="101"/>
      <c r="X177" s="101"/>
      <c r="Y177" s="100"/>
      <c r="Z177" s="100"/>
      <c r="AA177" s="100"/>
      <c r="AB177" s="100"/>
      <c r="AC177" s="100"/>
    </row>
    <row r="178" spans="1:29" x14ac:dyDescent="0.3">
      <c r="A178" s="179">
        <v>28</v>
      </c>
      <c r="B178" s="101"/>
      <c r="C178" s="101"/>
      <c r="D178" s="101"/>
      <c r="E178" s="100"/>
      <c r="F178" s="100"/>
      <c r="G178" s="100"/>
      <c r="H178" s="100"/>
      <c r="I178" s="100"/>
      <c r="J178" s="100"/>
      <c r="K178" s="100"/>
      <c r="L178" s="100"/>
      <c r="M178" s="100"/>
      <c r="N178" s="100"/>
      <c r="P178" s="179">
        <v>28</v>
      </c>
      <c r="Q178" s="101"/>
      <c r="R178" s="101"/>
      <c r="S178" s="101"/>
      <c r="T178" s="101"/>
      <c r="U178" s="101"/>
      <c r="V178" s="100"/>
      <c r="W178" s="101"/>
      <c r="X178" s="101"/>
      <c r="Y178" s="100"/>
      <c r="Z178" s="100"/>
      <c r="AA178" s="100"/>
      <c r="AB178" s="100"/>
      <c r="AC178" s="100"/>
    </row>
    <row r="179" spans="1:29" x14ac:dyDescent="0.3">
      <c r="A179" s="179">
        <v>30</v>
      </c>
      <c r="B179" s="101"/>
      <c r="C179" s="101"/>
      <c r="D179" s="101"/>
      <c r="E179" s="100"/>
      <c r="F179" s="100"/>
      <c r="G179" s="100"/>
      <c r="H179" s="100"/>
      <c r="I179" s="100"/>
      <c r="J179" s="100"/>
      <c r="K179" s="100"/>
      <c r="L179" s="100"/>
      <c r="M179" s="100"/>
      <c r="N179" s="100"/>
      <c r="P179" s="179">
        <v>30</v>
      </c>
      <c r="Q179" s="101"/>
      <c r="R179" s="101"/>
      <c r="S179" s="101"/>
      <c r="T179" s="101"/>
      <c r="U179" s="101"/>
      <c r="V179" s="100"/>
      <c r="W179" s="101"/>
      <c r="X179" s="101"/>
      <c r="Y179" s="100"/>
      <c r="Z179" s="100"/>
      <c r="AA179" s="100"/>
      <c r="AB179" s="100"/>
      <c r="AC179" s="100"/>
    </row>
    <row r="180" spans="1:29" x14ac:dyDescent="0.3">
      <c r="A180" s="179">
        <v>32</v>
      </c>
      <c r="B180" s="101"/>
      <c r="C180" s="101"/>
      <c r="D180" s="101"/>
      <c r="E180" s="100"/>
      <c r="F180" s="100"/>
      <c r="G180" s="100"/>
      <c r="H180" s="100"/>
      <c r="I180" s="100"/>
      <c r="J180" s="100"/>
      <c r="K180" s="100"/>
      <c r="L180" s="100"/>
      <c r="M180" s="100"/>
      <c r="N180" s="100"/>
      <c r="P180" s="179">
        <v>32</v>
      </c>
      <c r="Q180" s="101"/>
      <c r="R180" s="101"/>
      <c r="S180" s="101"/>
      <c r="T180" s="101"/>
      <c r="U180" s="101"/>
      <c r="V180" s="100"/>
      <c r="W180" s="101"/>
      <c r="X180" s="101"/>
      <c r="Y180" s="100"/>
      <c r="Z180" s="100"/>
      <c r="AA180" s="100"/>
      <c r="AB180" s="100"/>
      <c r="AC180" s="100"/>
    </row>
    <row r="181" spans="1:29" x14ac:dyDescent="0.3">
      <c r="A181" s="179">
        <v>36</v>
      </c>
      <c r="B181" s="100"/>
      <c r="C181" s="101"/>
      <c r="D181" s="101"/>
      <c r="E181" s="100"/>
      <c r="F181" s="100"/>
      <c r="G181" s="100"/>
      <c r="H181" s="100"/>
      <c r="I181" s="100"/>
      <c r="J181" s="100"/>
      <c r="K181" s="100"/>
      <c r="L181" s="100"/>
      <c r="M181" s="100"/>
      <c r="N181" s="100"/>
      <c r="P181" s="179">
        <v>36</v>
      </c>
      <c r="Q181" s="100"/>
      <c r="R181" s="101"/>
      <c r="S181" s="101"/>
      <c r="T181" s="101"/>
      <c r="U181" s="101"/>
      <c r="V181" s="100"/>
      <c r="W181" s="101"/>
      <c r="X181" s="101"/>
      <c r="Y181" s="100"/>
      <c r="Z181" s="100"/>
      <c r="AA181" s="100"/>
      <c r="AB181" s="100"/>
      <c r="AC181" s="100"/>
    </row>
    <row r="182" spans="1:29" x14ac:dyDescent="0.3">
      <c r="A182" s="179">
        <v>42</v>
      </c>
      <c r="B182" s="100"/>
      <c r="C182" s="100"/>
      <c r="D182" s="100"/>
      <c r="E182" s="100"/>
      <c r="F182" s="100"/>
      <c r="G182" s="100"/>
      <c r="H182" s="100"/>
      <c r="I182" s="100"/>
      <c r="J182" s="100"/>
      <c r="K182" s="100"/>
      <c r="L182" s="100"/>
      <c r="M182" s="100"/>
      <c r="N182" s="100"/>
      <c r="P182" s="179">
        <v>42</v>
      </c>
      <c r="Q182" s="100"/>
      <c r="R182" s="100"/>
      <c r="S182" s="100"/>
      <c r="T182" s="101"/>
      <c r="U182" s="100"/>
      <c r="V182" s="100"/>
      <c r="W182" s="100"/>
      <c r="X182" s="100"/>
      <c r="Y182" s="100"/>
      <c r="Z182" s="100"/>
      <c r="AA182" s="100"/>
      <c r="AB182" s="100"/>
      <c r="AC182" s="100"/>
    </row>
    <row r="183" spans="1:29" x14ac:dyDescent="0.3">
      <c r="A183" s="179">
        <v>48</v>
      </c>
      <c r="B183" s="100"/>
      <c r="C183" s="100"/>
      <c r="D183" s="100"/>
      <c r="E183" s="100"/>
      <c r="F183" s="100"/>
      <c r="G183" s="100"/>
      <c r="H183" s="100"/>
      <c r="I183" s="100"/>
      <c r="J183" s="100"/>
      <c r="K183" s="100"/>
      <c r="L183" s="100"/>
      <c r="M183" s="100"/>
      <c r="N183" s="100"/>
      <c r="P183" s="179">
        <v>48</v>
      </c>
      <c r="Q183" s="100"/>
      <c r="R183" s="100"/>
      <c r="S183" s="100"/>
      <c r="T183" s="101"/>
      <c r="U183" s="100"/>
      <c r="V183" s="100"/>
      <c r="W183" s="100"/>
      <c r="X183" s="100"/>
      <c r="Y183" s="100"/>
      <c r="Z183" s="100"/>
      <c r="AA183" s="100"/>
      <c r="AB183" s="100"/>
      <c r="AC183" s="100"/>
    </row>
    <row r="184" spans="1:29" x14ac:dyDescent="0.3">
      <c r="A184" s="96"/>
      <c r="B184" s="96"/>
      <c r="C184" s="96"/>
      <c r="D184" s="96"/>
      <c r="E184" s="96"/>
      <c r="F184" s="96"/>
      <c r="G184" s="96"/>
      <c r="H184" s="96"/>
      <c r="I184" s="96"/>
      <c r="J184" s="96"/>
      <c r="K184" s="96"/>
      <c r="L184" s="96"/>
      <c r="M184" s="96"/>
      <c r="N184" s="96"/>
      <c r="P184" s="97"/>
      <c r="Q184" s="97"/>
      <c r="R184" s="97"/>
      <c r="S184" s="97"/>
      <c r="T184" s="97"/>
      <c r="U184" s="97"/>
      <c r="V184" s="97"/>
      <c r="W184" s="97"/>
      <c r="X184" s="97"/>
      <c r="Y184" s="97"/>
      <c r="Z184" s="97"/>
      <c r="AA184" s="97"/>
      <c r="AB184" s="97"/>
      <c r="AC184" s="97"/>
    </row>
    <row r="185" spans="1:29" x14ac:dyDescent="0.3">
      <c r="A185" s="85" t="s">
        <v>754</v>
      </c>
      <c r="B185" s="100" t="s">
        <v>704</v>
      </c>
      <c r="C185" s="100" t="s">
        <v>705</v>
      </c>
      <c r="D185" s="100" t="s">
        <v>706</v>
      </c>
      <c r="E185" s="100" t="s">
        <v>707</v>
      </c>
      <c r="F185" s="100" t="s">
        <v>708</v>
      </c>
      <c r="G185" s="100" t="s">
        <v>709</v>
      </c>
      <c r="H185" s="100" t="s">
        <v>710</v>
      </c>
      <c r="I185" s="100" t="s">
        <v>711</v>
      </c>
      <c r="J185" s="100" t="s">
        <v>712</v>
      </c>
      <c r="K185" s="100" t="s">
        <v>713</v>
      </c>
      <c r="L185" s="100" t="s">
        <v>714</v>
      </c>
      <c r="M185" s="100" t="s">
        <v>715</v>
      </c>
      <c r="N185" s="100" t="s">
        <v>716</v>
      </c>
      <c r="P185" s="86" t="s">
        <v>755</v>
      </c>
      <c r="Q185" s="183" t="s">
        <v>704</v>
      </c>
      <c r="R185" s="183" t="s">
        <v>705</v>
      </c>
      <c r="S185" s="183" t="s">
        <v>706</v>
      </c>
      <c r="T185" s="183" t="s">
        <v>707</v>
      </c>
      <c r="U185" s="183" t="s">
        <v>708</v>
      </c>
      <c r="V185" s="183" t="s">
        <v>709</v>
      </c>
      <c r="W185" s="183" t="s">
        <v>710</v>
      </c>
      <c r="X185" s="183" t="s">
        <v>711</v>
      </c>
      <c r="Y185" s="183" t="s">
        <v>712</v>
      </c>
      <c r="Z185" s="183" t="s">
        <v>713</v>
      </c>
      <c r="AA185" s="183" t="s">
        <v>714</v>
      </c>
      <c r="AB185" s="183" t="s">
        <v>715</v>
      </c>
      <c r="AC185" s="183" t="s">
        <v>716</v>
      </c>
    </row>
    <row r="186" spans="1:29" x14ac:dyDescent="0.3">
      <c r="A186" s="179" t="s">
        <v>718</v>
      </c>
      <c r="B186" s="101">
        <v>7.0000000000000007E-2</v>
      </c>
      <c r="C186" s="100"/>
      <c r="D186" s="100"/>
      <c r="E186" s="100">
        <v>7.0000000000000007E-2</v>
      </c>
      <c r="F186" s="100">
        <v>7.0000000000000007E-2</v>
      </c>
      <c r="G186" s="100"/>
      <c r="H186" s="100">
        <v>7.0000000000000007E-2</v>
      </c>
      <c r="I186" s="101">
        <v>7.0000000000000007E-2</v>
      </c>
      <c r="J186" s="101"/>
      <c r="K186" s="100"/>
      <c r="L186" s="101"/>
      <c r="M186" s="101">
        <v>7.0000000000000007E-2</v>
      </c>
      <c r="N186" s="101">
        <v>7.0000000000000007E-2</v>
      </c>
      <c r="P186" s="179" t="s">
        <v>718</v>
      </c>
      <c r="Q186" s="183">
        <v>0.1</v>
      </c>
      <c r="R186" s="100"/>
      <c r="S186" s="100"/>
      <c r="T186" s="183">
        <v>0.1</v>
      </c>
      <c r="U186" s="183">
        <v>0.1</v>
      </c>
      <c r="V186" s="100"/>
      <c r="W186" s="183">
        <v>0.1</v>
      </c>
      <c r="X186" s="101">
        <v>0.1</v>
      </c>
      <c r="Y186" s="100"/>
      <c r="Z186" s="100"/>
      <c r="AA186" s="100"/>
      <c r="AB186" s="101">
        <v>0.1</v>
      </c>
      <c r="AC186" s="101">
        <v>0.1</v>
      </c>
    </row>
    <row r="187" spans="1:29" x14ac:dyDescent="0.3">
      <c r="A187" s="179" t="s">
        <v>719</v>
      </c>
      <c r="B187" s="101">
        <v>7.0000000000000007E-2</v>
      </c>
      <c r="C187" s="100"/>
      <c r="D187" s="100"/>
      <c r="E187" s="100">
        <v>7.0000000000000007E-2</v>
      </c>
      <c r="F187" s="100">
        <v>7.0000000000000007E-2</v>
      </c>
      <c r="G187" s="100"/>
      <c r="H187" s="100">
        <v>7.0000000000000007E-2</v>
      </c>
      <c r="I187" s="101">
        <v>7.0000000000000007E-2</v>
      </c>
      <c r="J187" s="101"/>
      <c r="K187" s="100"/>
      <c r="L187" s="101"/>
      <c r="M187" s="101">
        <v>7.0000000000000007E-2</v>
      </c>
      <c r="N187" s="101">
        <v>7.0000000000000007E-2</v>
      </c>
      <c r="P187" s="179" t="s">
        <v>719</v>
      </c>
      <c r="Q187" s="183">
        <v>0.1</v>
      </c>
      <c r="R187" s="100"/>
      <c r="S187" s="100"/>
      <c r="T187" s="183">
        <v>0.1</v>
      </c>
      <c r="U187" s="183">
        <v>0.1</v>
      </c>
      <c r="V187" s="100"/>
      <c r="W187" s="183">
        <v>0.1</v>
      </c>
      <c r="X187" s="101">
        <v>0.1</v>
      </c>
      <c r="Y187" s="100"/>
      <c r="Z187" s="100"/>
      <c r="AA187" s="100"/>
      <c r="AB187" s="101">
        <v>0.1</v>
      </c>
      <c r="AC187" s="101">
        <v>0.1</v>
      </c>
    </row>
    <row r="188" spans="1:29" x14ac:dyDescent="0.3">
      <c r="A188" s="179">
        <v>1</v>
      </c>
      <c r="B188" s="101">
        <v>0.11</v>
      </c>
      <c r="C188" s="100"/>
      <c r="D188" s="100"/>
      <c r="E188" s="100">
        <v>0.11</v>
      </c>
      <c r="F188" s="100">
        <v>0.11</v>
      </c>
      <c r="G188" s="100"/>
      <c r="H188" s="100">
        <v>0.11</v>
      </c>
      <c r="I188" s="101">
        <v>0.11</v>
      </c>
      <c r="J188" s="101"/>
      <c r="K188" s="100"/>
      <c r="L188" s="101"/>
      <c r="M188" s="101">
        <v>0.11</v>
      </c>
      <c r="N188" s="101">
        <v>0.11</v>
      </c>
      <c r="P188" s="179">
        <v>1</v>
      </c>
      <c r="Q188" s="183">
        <v>0.13</v>
      </c>
      <c r="R188" s="100"/>
      <c r="S188" s="100"/>
      <c r="T188" s="183">
        <v>0.13</v>
      </c>
      <c r="U188" s="183">
        <v>0.13</v>
      </c>
      <c r="V188" s="100"/>
      <c r="W188" s="183">
        <v>0.13</v>
      </c>
      <c r="X188" s="101">
        <v>0.13</v>
      </c>
      <c r="Y188" s="100"/>
      <c r="Z188" s="100"/>
      <c r="AA188" s="100"/>
      <c r="AB188" s="101">
        <v>0.13</v>
      </c>
      <c r="AC188" s="101">
        <v>0.13</v>
      </c>
    </row>
    <row r="189" spans="1:29" x14ac:dyDescent="0.3">
      <c r="A189" s="179" t="s">
        <v>720</v>
      </c>
      <c r="B189" s="101">
        <v>0.14000000000000001</v>
      </c>
      <c r="C189" s="100"/>
      <c r="D189" s="100"/>
      <c r="E189" s="100">
        <v>0.14000000000000001</v>
      </c>
      <c r="F189" s="100">
        <v>0.14000000000000001</v>
      </c>
      <c r="G189" s="100"/>
      <c r="H189" s="100">
        <v>0.14000000000000001</v>
      </c>
      <c r="I189" s="101">
        <v>0.14000000000000001</v>
      </c>
      <c r="J189" s="101"/>
      <c r="K189" s="100"/>
      <c r="L189" s="101"/>
      <c r="M189" s="101">
        <v>0.14000000000000001</v>
      </c>
      <c r="N189" s="101">
        <v>0.14000000000000001</v>
      </c>
      <c r="P189" s="179" t="s">
        <v>720</v>
      </c>
      <c r="Q189" s="183">
        <v>0.19</v>
      </c>
      <c r="R189" s="100"/>
      <c r="S189" s="100"/>
      <c r="T189" s="183">
        <v>0.19</v>
      </c>
      <c r="U189" s="183">
        <v>0.19</v>
      </c>
      <c r="V189" s="100"/>
      <c r="W189" s="183">
        <v>0.19</v>
      </c>
      <c r="X189" s="101">
        <v>0.19</v>
      </c>
      <c r="Y189" s="100"/>
      <c r="Z189" s="100"/>
      <c r="AA189" s="100"/>
      <c r="AB189" s="101">
        <v>0.19</v>
      </c>
      <c r="AC189" s="101">
        <v>0.19</v>
      </c>
    </row>
    <row r="190" spans="1:29" x14ac:dyDescent="0.3">
      <c r="A190" s="179">
        <v>2</v>
      </c>
      <c r="B190" s="101">
        <v>0.18</v>
      </c>
      <c r="C190" s="100"/>
      <c r="D190" s="100"/>
      <c r="E190" s="100">
        <v>0.18</v>
      </c>
      <c r="F190" s="100">
        <v>0.18</v>
      </c>
      <c r="G190" s="100"/>
      <c r="H190" s="100">
        <v>0.18</v>
      </c>
      <c r="I190" s="101">
        <v>0.18</v>
      </c>
      <c r="J190" s="101"/>
      <c r="K190" s="100"/>
      <c r="L190" s="101"/>
      <c r="M190" s="101">
        <v>0.18</v>
      </c>
      <c r="N190" s="101">
        <v>0.18</v>
      </c>
      <c r="P190" s="179">
        <v>2</v>
      </c>
      <c r="Q190" s="183">
        <v>0.26</v>
      </c>
      <c r="R190" s="100"/>
      <c r="S190" s="100"/>
      <c r="T190" s="183">
        <v>0.26</v>
      </c>
      <c r="U190" s="183">
        <v>0.26</v>
      </c>
      <c r="V190" s="100"/>
      <c r="W190" s="183">
        <v>0.26</v>
      </c>
      <c r="X190" s="101">
        <v>0.26</v>
      </c>
      <c r="Y190" s="100"/>
      <c r="Z190" s="100"/>
      <c r="AA190" s="100"/>
      <c r="AB190" s="101">
        <v>0.26</v>
      </c>
      <c r="AC190" s="101">
        <v>0.26</v>
      </c>
    </row>
    <row r="191" spans="1:29" x14ac:dyDescent="0.3">
      <c r="A191" s="179" t="s">
        <v>721</v>
      </c>
      <c r="B191" s="101">
        <v>0.22</v>
      </c>
      <c r="C191" s="100"/>
      <c r="D191" s="100"/>
      <c r="E191" s="100">
        <v>0.22</v>
      </c>
      <c r="F191" s="100">
        <v>0.22</v>
      </c>
      <c r="G191" s="100"/>
      <c r="H191" s="100">
        <v>0.22</v>
      </c>
      <c r="I191" s="101">
        <v>0.22</v>
      </c>
      <c r="J191" s="101"/>
      <c r="K191" s="100"/>
      <c r="L191" s="101"/>
      <c r="M191" s="101">
        <v>0.22</v>
      </c>
      <c r="N191" s="101">
        <v>0.27</v>
      </c>
      <c r="P191" s="179" t="s">
        <v>721</v>
      </c>
      <c r="Q191" s="183">
        <v>0.3</v>
      </c>
      <c r="R191" s="100"/>
      <c r="S191" s="100"/>
      <c r="T191" s="183">
        <v>0.3</v>
      </c>
      <c r="U191" s="183">
        <v>0.3</v>
      </c>
      <c r="V191" s="100"/>
      <c r="W191" s="183">
        <v>0.3</v>
      </c>
      <c r="X191" s="101">
        <v>0.3</v>
      </c>
      <c r="Y191" s="100"/>
      <c r="Z191" s="100"/>
      <c r="AA191" s="100"/>
      <c r="AB191" s="101">
        <v>0.3</v>
      </c>
      <c r="AC191" s="101">
        <v>0.33</v>
      </c>
    </row>
    <row r="192" spans="1:29" x14ac:dyDescent="0.3">
      <c r="A192" s="179">
        <v>3</v>
      </c>
      <c r="B192" s="101">
        <v>0.26</v>
      </c>
      <c r="C192" s="100"/>
      <c r="D192" s="100"/>
      <c r="E192" s="100">
        <v>0.26</v>
      </c>
      <c r="F192" s="100">
        <v>0.26</v>
      </c>
      <c r="G192" s="100"/>
      <c r="H192" s="100">
        <v>0.26</v>
      </c>
      <c r="I192" s="101">
        <v>0.26</v>
      </c>
      <c r="J192" s="101"/>
      <c r="K192" s="100"/>
      <c r="L192" s="101"/>
      <c r="M192" s="101">
        <v>0.26</v>
      </c>
      <c r="N192" s="101">
        <v>0.31</v>
      </c>
      <c r="P192" s="179">
        <v>3</v>
      </c>
      <c r="Q192" s="183">
        <v>0.32</v>
      </c>
      <c r="R192" s="100"/>
      <c r="S192" s="100"/>
      <c r="T192" s="183">
        <v>0.32</v>
      </c>
      <c r="U192" s="183">
        <v>0.32</v>
      </c>
      <c r="V192" s="100"/>
      <c r="W192" s="183">
        <v>0.32</v>
      </c>
      <c r="X192" s="101">
        <v>0.32</v>
      </c>
      <c r="Y192" s="100"/>
      <c r="Z192" s="100"/>
      <c r="AA192" s="100"/>
      <c r="AB192" s="101">
        <v>0.32</v>
      </c>
      <c r="AC192" s="101">
        <v>0.38</v>
      </c>
    </row>
    <row r="193" spans="1:29" x14ac:dyDescent="0.3">
      <c r="A193" s="179">
        <v>4</v>
      </c>
      <c r="B193" s="101">
        <v>0.33</v>
      </c>
      <c r="C193" s="100"/>
      <c r="D193" s="100"/>
      <c r="E193" s="100">
        <v>0.33</v>
      </c>
      <c r="F193" s="100">
        <v>0.33</v>
      </c>
      <c r="G193" s="100"/>
      <c r="H193" s="100">
        <v>0.33</v>
      </c>
      <c r="I193" s="101">
        <v>0.33</v>
      </c>
      <c r="J193" s="101"/>
      <c r="K193" s="100">
        <v>0.33</v>
      </c>
      <c r="L193" s="101"/>
      <c r="M193" s="101">
        <v>0.39</v>
      </c>
      <c r="N193" s="101">
        <v>0.39</v>
      </c>
      <c r="P193" s="179">
        <v>4</v>
      </c>
      <c r="Q193" s="183">
        <v>0.39</v>
      </c>
      <c r="R193" s="100"/>
      <c r="S193" s="100"/>
      <c r="T193" s="183">
        <v>0.39</v>
      </c>
      <c r="U193" s="183">
        <v>0.39</v>
      </c>
      <c r="V193" s="100"/>
      <c r="W193" s="183">
        <v>0.39</v>
      </c>
      <c r="X193" s="101">
        <v>0.39</v>
      </c>
      <c r="Y193" s="100"/>
      <c r="Z193" s="101">
        <v>0.39</v>
      </c>
      <c r="AA193" s="100"/>
      <c r="AB193" s="101">
        <v>0.47</v>
      </c>
      <c r="AC193" s="101">
        <v>0.46</v>
      </c>
    </row>
    <row r="194" spans="1:29" x14ac:dyDescent="0.3">
      <c r="A194" s="179">
        <v>6</v>
      </c>
      <c r="B194" s="101">
        <v>0.43</v>
      </c>
      <c r="C194" s="100"/>
      <c r="D194" s="100"/>
      <c r="E194" s="100">
        <v>0.43</v>
      </c>
      <c r="F194" s="100">
        <v>0.43</v>
      </c>
      <c r="G194" s="100"/>
      <c r="H194" s="100">
        <v>0.43</v>
      </c>
      <c r="I194" s="101">
        <v>0.43</v>
      </c>
      <c r="J194" s="100"/>
      <c r="K194" s="100">
        <v>0.52</v>
      </c>
      <c r="L194" s="100"/>
      <c r="M194" s="101">
        <v>0.52</v>
      </c>
      <c r="N194" s="101">
        <v>0.52</v>
      </c>
      <c r="P194" s="179">
        <v>6</v>
      </c>
      <c r="Q194" s="183">
        <v>0.5</v>
      </c>
      <c r="R194" s="100"/>
      <c r="S194" s="100"/>
      <c r="T194" s="183">
        <v>0.5</v>
      </c>
      <c r="U194" s="183">
        <v>0.5</v>
      </c>
      <c r="V194" s="100"/>
      <c r="W194" s="183">
        <v>0.5</v>
      </c>
      <c r="X194" s="101">
        <v>0.5</v>
      </c>
      <c r="Y194" s="101"/>
      <c r="Z194" s="101">
        <v>0.6</v>
      </c>
      <c r="AA194" s="100"/>
      <c r="AB194" s="101">
        <v>0.6</v>
      </c>
      <c r="AC194" s="101">
        <v>0.6</v>
      </c>
    </row>
    <row r="195" spans="1:29" x14ac:dyDescent="0.3">
      <c r="A195" s="179">
        <v>8</v>
      </c>
      <c r="B195" s="101">
        <v>0.54</v>
      </c>
      <c r="C195" s="101">
        <v>0.54</v>
      </c>
      <c r="D195" s="101">
        <v>0.54</v>
      </c>
      <c r="E195" s="100">
        <v>0.54</v>
      </c>
      <c r="F195" s="100">
        <v>0.54</v>
      </c>
      <c r="G195" s="100">
        <v>0.54</v>
      </c>
      <c r="H195" s="100">
        <v>0.54</v>
      </c>
      <c r="I195" s="101">
        <v>0.54</v>
      </c>
      <c r="J195" s="101">
        <v>0.65</v>
      </c>
      <c r="K195" s="100">
        <v>0.65</v>
      </c>
      <c r="L195" s="101">
        <v>0.65</v>
      </c>
      <c r="M195" s="101">
        <v>0.65</v>
      </c>
      <c r="N195" s="101">
        <v>0.65</v>
      </c>
      <c r="P195" s="179">
        <v>8</v>
      </c>
      <c r="Q195" s="183">
        <v>0.57999999999999996</v>
      </c>
      <c r="R195" s="101">
        <v>0.57999999999999996</v>
      </c>
      <c r="S195" s="101">
        <v>0.57999999999999996</v>
      </c>
      <c r="T195" s="183">
        <v>0.57999999999999996</v>
      </c>
      <c r="U195" s="183">
        <v>0.57999999999999996</v>
      </c>
      <c r="V195" s="101">
        <v>0.57999999999999996</v>
      </c>
      <c r="W195" s="183">
        <v>0.57999999999999996</v>
      </c>
      <c r="X195" s="101">
        <v>0.57999999999999996</v>
      </c>
      <c r="Y195" s="100">
        <v>0.7</v>
      </c>
      <c r="Z195" s="101">
        <v>0.7</v>
      </c>
      <c r="AA195" s="101">
        <v>0.7</v>
      </c>
      <c r="AB195" s="101">
        <v>0.7</v>
      </c>
      <c r="AC195" s="101">
        <v>0.7</v>
      </c>
    </row>
    <row r="196" spans="1:29" x14ac:dyDescent="0.3">
      <c r="A196" s="179">
        <v>10</v>
      </c>
      <c r="B196" s="101">
        <v>0.65</v>
      </c>
      <c r="C196" s="101">
        <v>0.65</v>
      </c>
      <c r="D196" s="101">
        <v>0.65</v>
      </c>
      <c r="E196" s="100">
        <v>0.65</v>
      </c>
      <c r="F196" s="100">
        <v>0.65</v>
      </c>
      <c r="G196" s="100">
        <v>0.65</v>
      </c>
      <c r="H196" s="100">
        <v>0.65</v>
      </c>
      <c r="I196" s="101">
        <v>0.78</v>
      </c>
      <c r="J196" s="101">
        <v>0.78</v>
      </c>
      <c r="K196" s="100">
        <v>0.78</v>
      </c>
      <c r="L196" s="101">
        <v>0.78</v>
      </c>
      <c r="M196" s="101">
        <v>0.97</v>
      </c>
      <c r="N196" s="101">
        <v>0.78</v>
      </c>
      <c r="P196" s="179">
        <v>10</v>
      </c>
      <c r="Q196" s="183">
        <v>0.68</v>
      </c>
      <c r="R196" s="101">
        <v>0.68</v>
      </c>
      <c r="S196" s="101">
        <v>0.68</v>
      </c>
      <c r="T196" s="183">
        <v>0.68</v>
      </c>
      <c r="U196" s="183">
        <v>0.68</v>
      </c>
      <c r="V196" s="101">
        <v>0.68</v>
      </c>
      <c r="W196" s="183">
        <v>0.68</v>
      </c>
      <c r="X196" s="101">
        <v>0.82</v>
      </c>
      <c r="Y196" s="100">
        <v>0.82</v>
      </c>
      <c r="Z196" s="101">
        <v>0.82</v>
      </c>
      <c r="AA196" s="101">
        <v>0.82</v>
      </c>
      <c r="AB196" s="101">
        <v>1.03</v>
      </c>
      <c r="AC196" s="101">
        <v>0.82</v>
      </c>
    </row>
    <row r="197" spans="1:29" x14ac:dyDescent="0.3">
      <c r="A197" s="179">
        <v>12</v>
      </c>
      <c r="B197" s="101">
        <v>0.76</v>
      </c>
      <c r="C197" s="101">
        <v>0.76</v>
      </c>
      <c r="D197" s="101">
        <v>0.76</v>
      </c>
      <c r="E197" s="100">
        <v>0.76</v>
      </c>
      <c r="F197" s="100">
        <v>0.76</v>
      </c>
      <c r="G197" s="100">
        <v>0.91</v>
      </c>
      <c r="H197" s="100">
        <v>0.76</v>
      </c>
      <c r="I197" s="101">
        <v>0.91</v>
      </c>
      <c r="J197" s="101">
        <v>0.91</v>
      </c>
      <c r="K197" s="100">
        <v>0.91</v>
      </c>
      <c r="L197" s="101">
        <v>1.1399999999999999</v>
      </c>
      <c r="M197" s="101">
        <v>1.1399999999999999</v>
      </c>
      <c r="N197" s="101">
        <v>0.91</v>
      </c>
      <c r="P197" s="179">
        <v>12</v>
      </c>
      <c r="Q197" s="183">
        <v>0.78</v>
      </c>
      <c r="R197" s="101">
        <v>0.78</v>
      </c>
      <c r="S197" s="101">
        <v>0.78</v>
      </c>
      <c r="T197" s="183">
        <v>0.78</v>
      </c>
      <c r="U197" s="183">
        <v>0.78</v>
      </c>
      <c r="V197" s="101">
        <v>0.93</v>
      </c>
      <c r="W197" s="183">
        <v>0.78</v>
      </c>
      <c r="X197" s="101">
        <v>0.93</v>
      </c>
      <c r="Y197" s="100">
        <v>0.93</v>
      </c>
      <c r="Z197" s="101">
        <v>0.93</v>
      </c>
      <c r="AA197" s="101">
        <v>1.17</v>
      </c>
      <c r="AB197" s="101">
        <v>1.17</v>
      </c>
      <c r="AC197" s="101">
        <v>0.93</v>
      </c>
    </row>
    <row r="198" spans="1:29" x14ac:dyDescent="0.3">
      <c r="A198" s="179">
        <v>14</v>
      </c>
      <c r="B198" s="101">
        <v>0.86</v>
      </c>
      <c r="C198" s="101">
        <v>0.86</v>
      </c>
      <c r="D198" s="101">
        <v>0.86</v>
      </c>
      <c r="E198" s="100">
        <v>0.86</v>
      </c>
      <c r="F198" s="100">
        <v>0.86</v>
      </c>
      <c r="G198" s="100">
        <v>1.04</v>
      </c>
      <c r="H198" s="100">
        <v>0.86</v>
      </c>
      <c r="I198" s="101">
        <v>1.04</v>
      </c>
      <c r="J198" s="101">
        <v>1.04</v>
      </c>
      <c r="K198" s="100">
        <v>1.3</v>
      </c>
      <c r="L198" s="101">
        <v>1.3</v>
      </c>
      <c r="M198" s="101">
        <v>1.3</v>
      </c>
      <c r="N198" s="100"/>
      <c r="P198" s="179">
        <v>14</v>
      </c>
      <c r="Q198" s="183">
        <v>0.91</v>
      </c>
      <c r="R198" s="101">
        <v>0.91</v>
      </c>
      <c r="S198" s="101">
        <v>0.91</v>
      </c>
      <c r="T198" s="183">
        <v>0.91</v>
      </c>
      <c r="U198" s="183">
        <v>0.91</v>
      </c>
      <c r="V198" s="101">
        <v>1.0900000000000001</v>
      </c>
      <c r="W198" s="183">
        <v>0.91</v>
      </c>
      <c r="X198" s="101">
        <v>1.0900000000000001</v>
      </c>
      <c r="Y198" s="100">
        <v>1.0900000000000001</v>
      </c>
      <c r="Z198" s="101">
        <v>1.36</v>
      </c>
      <c r="AA198" s="101">
        <v>1.36</v>
      </c>
      <c r="AB198" s="101">
        <v>1.36</v>
      </c>
      <c r="AC198" s="100"/>
    </row>
    <row r="199" spans="1:29" x14ac:dyDescent="0.3">
      <c r="A199" s="179">
        <v>16</v>
      </c>
      <c r="B199" s="101">
        <v>0.98</v>
      </c>
      <c r="C199" s="101">
        <v>0.98</v>
      </c>
      <c r="D199" s="101">
        <v>0.98</v>
      </c>
      <c r="E199" s="100">
        <v>0.98</v>
      </c>
      <c r="F199" s="100">
        <v>0.98</v>
      </c>
      <c r="G199" s="100">
        <v>1.17</v>
      </c>
      <c r="H199" s="100">
        <v>0.98</v>
      </c>
      <c r="I199" s="101">
        <v>1.17</v>
      </c>
      <c r="J199" s="101">
        <v>1.46</v>
      </c>
      <c r="K199" s="100">
        <v>1.46</v>
      </c>
      <c r="L199" s="101">
        <v>1.46</v>
      </c>
      <c r="M199" s="101">
        <v>1.46</v>
      </c>
      <c r="N199" s="100"/>
      <c r="P199" s="179">
        <v>16</v>
      </c>
      <c r="Q199" s="183">
        <v>1.04</v>
      </c>
      <c r="R199" s="101">
        <v>1.04</v>
      </c>
      <c r="S199" s="101">
        <v>1.04</v>
      </c>
      <c r="T199" s="183">
        <v>1.04</v>
      </c>
      <c r="U199" s="183">
        <v>1.04</v>
      </c>
      <c r="V199" s="101">
        <v>1.24</v>
      </c>
      <c r="W199" s="183">
        <v>1.04</v>
      </c>
      <c r="X199" s="101">
        <v>1.24</v>
      </c>
      <c r="Y199" s="100">
        <v>1.56</v>
      </c>
      <c r="Z199" s="101">
        <v>1.56</v>
      </c>
      <c r="AA199" s="101">
        <v>1.56</v>
      </c>
      <c r="AB199" s="101">
        <v>1.56</v>
      </c>
      <c r="AC199" s="100"/>
    </row>
    <row r="200" spans="1:29" x14ac:dyDescent="0.3">
      <c r="A200" s="179">
        <v>18</v>
      </c>
      <c r="B200" s="101">
        <v>1.08</v>
      </c>
      <c r="C200" s="101">
        <v>1.08</v>
      </c>
      <c r="D200" s="101">
        <v>1.08</v>
      </c>
      <c r="E200" s="100">
        <v>1.08</v>
      </c>
      <c r="F200" s="100">
        <v>1.3</v>
      </c>
      <c r="G200" s="100">
        <v>1.3</v>
      </c>
      <c r="H200" s="100">
        <v>1.08</v>
      </c>
      <c r="I200" s="101">
        <v>1.3</v>
      </c>
      <c r="J200" s="101">
        <v>1.62</v>
      </c>
      <c r="K200" s="100">
        <v>1.62</v>
      </c>
      <c r="L200" s="101">
        <v>1.62</v>
      </c>
      <c r="M200" s="101">
        <v>1.62</v>
      </c>
      <c r="N200" s="100"/>
      <c r="P200" s="179">
        <v>18</v>
      </c>
      <c r="Q200" s="183">
        <v>1.17</v>
      </c>
      <c r="R200" s="101">
        <v>1.17</v>
      </c>
      <c r="S200" s="101">
        <v>1.17</v>
      </c>
      <c r="T200" s="183">
        <v>1.17</v>
      </c>
      <c r="U200" s="183">
        <v>1.4</v>
      </c>
      <c r="V200" s="101">
        <v>1.4</v>
      </c>
      <c r="W200" s="183">
        <v>1.17</v>
      </c>
      <c r="X200" s="101">
        <v>1.4</v>
      </c>
      <c r="Y200" s="100">
        <v>1.75</v>
      </c>
      <c r="Z200" s="101">
        <v>1.75</v>
      </c>
      <c r="AA200" s="101">
        <v>1.75</v>
      </c>
      <c r="AB200" s="101">
        <v>1.75</v>
      </c>
      <c r="AC200" s="100"/>
    </row>
    <row r="201" spans="1:29" x14ac:dyDescent="0.3">
      <c r="A201" s="179">
        <v>20</v>
      </c>
      <c r="B201" s="101">
        <v>1.19</v>
      </c>
      <c r="C201" s="101">
        <v>1.19</v>
      </c>
      <c r="D201" s="101">
        <v>1.19</v>
      </c>
      <c r="E201" s="100">
        <v>1.19</v>
      </c>
      <c r="F201" s="100">
        <v>1.43</v>
      </c>
      <c r="G201" s="100">
        <v>1.43</v>
      </c>
      <c r="H201" s="100">
        <v>1.19</v>
      </c>
      <c r="I201" s="101">
        <v>1.79</v>
      </c>
      <c r="J201" s="101">
        <v>1.79</v>
      </c>
      <c r="K201" s="100">
        <v>1.79</v>
      </c>
      <c r="L201" s="101">
        <v>1.79</v>
      </c>
      <c r="M201" s="101">
        <v>1.79</v>
      </c>
      <c r="N201" s="100"/>
      <c r="P201" s="179">
        <v>20</v>
      </c>
      <c r="Q201" s="183">
        <v>1.3</v>
      </c>
      <c r="R201" s="101">
        <v>1.3</v>
      </c>
      <c r="S201" s="101">
        <v>1.3</v>
      </c>
      <c r="T201" s="183">
        <v>1.3</v>
      </c>
      <c r="U201" s="183">
        <v>1.56</v>
      </c>
      <c r="V201" s="101">
        <v>1.56</v>
      </c>
      <c r="W201" s="183">
        <v>1.3</v>
      </c>
      <c r="X201" s="101">
        <v>1.94</v>
      </c>
      <c r="Y201" s="100">
        <v>1.94</v>
      </c>
      <c r="Z201" s="101">
        <v>1.94</v>
      </c>
      <c r="AA201" s="101">
        <v>1.94</v>
      </c>
      <c r="AB201" s="101">
        <v>1.94</v>
      </c>
      <c r="AC201" s="100"/>
    </row>
    <row r="202" spans="1:29" x14ac:dyDescent="0.3">
      <c r="A202" s="179">
        <v>24</v>
      </c>
      <c r="B202" s="101">
        <v>1.48</v>
      </c>
      <c r="C202" s="101">
        <v>1.48</v>
      </c>
      <c r="D202" s="101">
        <v>1.78</v>
      </c>
      <c r="E202" s="100">
        <v>1.48</v>
      </c>
      <c r="F202" s="100">
        <v>1.78</v>
      </c>
      <c r="G202" s="100">
        <v>1.78</v>
      </c>
      <c r="H202" s="100">
        <v>1.48</v>
      </c>
      <c r="I202" s="101">
        <v>2.2200000000000002</v>
      </c>
      <c r="J202" s="101">
        <v>2.2200000000000002</v>
      </c>
      <c r="K202" s="100">
        <v>2.2200000000000002</v>
      </c>
      <c r="L202" s="101">
        <v>2.2200000000000002</v>
      </c>
      <c r="M202" s="101">
        <v>2.2200000000000002</v>
      </c>
      <c r="N202" s="100"/>
      <c r="P202" s="179">
        <v>24</v>
      </c>
      <c r="Q202" s="183">
        <v>1.53</v>
      </c>
      <c r="R202" s="101">
        <v>1.53</v>
      </c>
      <c r="S202" s="101">
        <v>1.83</v>
      </c>
      <c r="T202" s="183">
        <v>1.53</v>
      </c>
      <c r="U202" s="183">
        <v>1.83</v>
      </c>
      <c r="V202" s="101">
        <v>1.83</v>
      </c>
      <c r="W202" s="183">
        <v>1.53</v>
      </c>
      <c r="X202" s="101">
        <v>2.29</v>
      </c>
      <c r="Y202" s="100">
        <v>2.29</v>
      </c>
      <c r="Z202" s="101">
        <v>2.29</v>
      </c>
      <c r="AA202" s="101">
        <v>2.29</v>
      </c>
      <c r="AB202" s="101">
        <v>2.29</v>
      </c>
      <c r="AC202" s="100"/>
    </row>
    <row r="203" spans="1:29" x14ac:dyDescent="0.3">
      <c r="A203" s="179">
        <v>26</v>
      </c>
      <c r="B203" s="101"/>
      <c r="C203" s="101">
        <v>1.6</v>
      </c>
      <c r="D203" s="101">
        <v>1.92</v>
      </c>
      <c r="E203" s="100">
        <v>1.6</v>
      </c>
      <c r="F203" s="100">
        <v>1.92</v>
      </c>
      <c r="G203" s="100"/>
      <c r="H203" s="100">
        <v>1.6</v>
      </c>
      <c r="I203" s="100"/>
      <c r="J203" s="100"/>
      <c r="K203" s="100"/>
      <c r="L203" s="100"/>
      <c r="M203" s="100"/>
      <c r="N203" s="100"/>
      <c r="P203" s="179">
        <v>26</v>
      </c>
      <c r="Q203" s="183"/>
      <c r="R203" s="101">
        <v>1.66</v>
      </c>
      <c r="S203" s="101">
        <v>1.99</v>
      </c>
      <c r="T203" s="183">
        <v>1.66</v>
      </c>
      <c r="U203" s="183">
        <v>1.99</v>
      </c>
      <c r="V203" s="100"/>
      <c r="W203" s="183">
        <v>1.66</v>
      </c>
      <c r="X203" s="101"/>
      <c r="Y203" s="100"/>
      <c r="Z203" s="100"/>
      <c r="AA203" s="100"/>
      <c r="AB203" s="100"/>
      <c r="AC203" s="100"/>
    </row>
    <row r="204" spans="1:29" x14ac:dyDescent="0.3">
      <c r="A204" s="179">
        <v>28</v>
      </c>
      <c r="B204" s="101">
        <v>1.73</v>
      </c>
      <c r="C204" s="101">
        <v>1.73</v>
      </c>
      <c r="D204" s="101">
        <v>2.0699999999999998</v>
      </c>
      <c r="E204" s="100">
        <v>1.73</v>
      </c>
      <c r="F204" s="100">
        <v>2.0699999999999998</v>
      </c>
      <c r="G204" s="100"/>
      <c r="H204" s="100">
        <v>1.73</v>
      </c>
      <c r="I204" s="100"/>
      <c r="J204" s="100"/>
      <c r="K204" s="100"/>
      <c r="L204" s="100"/>
      <c r="M204" s="100"/>
      <c r="N204" s="100"/>
      <c r="P204" s="179">
        <v>28</v>
      </c>
      <c r="Q204" s="183">
        <v>1.79</v>
      </c>
      <c r="R204" s="101">
        <v>1.79</v>
      </c>
      <c r="S204" s="101">
        <v>2.14</v>
      </c>
      <c r="T204" s="183">
        <v>1.79</v>
      </c>
      <c r="U204" s="183">
        <v>2.14</v>
      </c>
      <c r="V204" s="100"/>
      <c r="W204" s="183">
        <v>1.79</v>
      </c>
      <c r="X204" s="101"/>
      <c r="Y204" s="100"/>
      <c r="Z204" s="100"/>
      <c r="AA204" s="100"/>
      <c r="AB204" s="100"/>
      <c r="AC204" s="100"/>
    </row>
    <row r="205" spans="1:29" x14ac:dyDescent="0.3">
      <c r="A205" s="179">
        <v>30</v>
      </c>
      <c r="B205" s="101">
        <v>1.87</v>
      </c>
      <c r="C205" s="101">
        <v>1.87</v>
      </c>
      <c r="D205" s="101">
        <v>2.25</v>
      </c>
      <c r="E205" s="100">
        <v>1.87</v>
      </c>
      <c r="F205" s="100">
        <v>2.25</v>
      </c>
      <c r="G205" s="100"/>
      <c r="H205" s="100">
        <v>1.87</v>
      </c>
      <c r="I205" s="100"/>
      <c r="J205" s="100"/>
      <c r="K205" s="100"/>
      <c r="L205" s="100"/>
      <c r="M205" s="100"/>
      <c r="N205" s="100"/>
      <c r="P205" s="179">
        <v>30</v>
      </c>
      <c r="Q205" s="183">
        <v>1.92</v>
      </c>
      <c r="R205" s="101">
        <v>1.92</v>
      </c>
      <c r="S205" s="101">
        <v>2.2999999999999998</v>
      </c>
      <c r="T205" s="183">
        <v>1.92</v>
      </c>
      <c r="U205" s="183">
        <v>2.2999999999999998</v>
      </c>
      <c r="V205" s="100"/>
      <c r="W205" s="183">
        <v>1.92</v>
      </c>
      <c r="X205" s="101"/>
      <c r="Y205" s="100"/>
      <c r="Z205" s="100"/>
      <c r="AA205" s="100"/>
      <c r="AB205" s="100"/>
      <c r="AC205" s="100"/>
    </row>
    <row r="206" spans="1:29" x14ac:dyDescent="0.3">
      <c r="A206" s="179">
        <v>32</v>
      </c>
      <c r="B206" s="101">
        <v>2</v>
      </c>
      <c r="C206" s="101">
        <v>2</v>
      </c>
      <c r="D206" s="101">
        <v>2.4</v>
      </c>
      <c r="E206" s="100">
        <v>2</v>
      </c>
      <c r="F206" s="100">
        <v>2.4</v>
      </c>
      <c r="G206" s="100"/>
      <c r="H206" s="100">
        <v>2</v>
      </c>
      <c r="I206" s="100"/>
      <c r="J206" s="100"/>
      <c r="K206" s="100"/>
      <c r="L206" s="100"/>
      <c r="M206" s="100"/>
      <c r="N206" s="100"/>
      <c r="P206" s="179">
        <v>32</v>
      </c>
      <c r="Q206" s="183">
        <v>2.04</v>
      </c>
      <c r="R206" s="101">
        <v>2.04</v>
      </c>
      <c r="S206" s="101">
        <v>2.4500000000000002</v>
      </c>
      <c r="T206" s="183">
        <v>2.04</v>
      </c>
      <c r="U206" s="183">
        <v>2.4500000000000002</v>
      </c>
      <c r="V206" s="100"/>
      <c r="W206" s="183">
        <v>2.04</v>
      </c>
      <c r="X206" s="101"/>
      <c r="Y206" s="100"/>
      <c r="Z206" s="100"/>
      <c r="AA206" s="100"/>
      <c r="AB206" s="100"/>
      <c r="AC206" s="100"/>
    </row>
    <row r="207" spans="1:29" x14ac:dyDescent="0.3">
      <c r="A207" s="179">
        <v>36</v>
      </c>
      <c r="B207" s="100"/>
      <c r="C207" s="101">
        <v>2.27</v>
      </c>
      <c r="D207" s="101">
        <v>2.73</v>
      </c>
      <c r="E207" s="100">
        <v>2.27</v>
      </c>
      <c r="F207" s="100">
        <v>2.73</v>
      </c>
      <c r="G207" s="100"/>
      <c r="H207" s="100">
        <v>2.27</v>
      </c>
      <c r="I207" s="100"/>
      <c r="J207" s="100"/>
      <c r="K207" s="100"/>
      <c r="L207" s="100"/>
      <c r="M207" s="100"/>
      <c r="N207" s="100"/>
      <c r="P207" s="179">
        <v>36</v>
      </c>
      <c r="Q207" s="100"/>
      <c r="R207" s="101">
        <v>2.2999999999999998</v>
      </c>
      <c r="S207" s="101">
        <v>2.76</v>
      </c>
      <c r="T207" s="183">
        <v>2.2999999999999998</v>
      </c>
      <c r="U207" s="183">
        <v>2.76</v>
      </c>
      <c r="V207" s="100"/>
      <c r="W207" s="183">
        <v>2.2999999999999998</v>
      </c>
      <c r="X207" s="101"/>
      <c r="Y207" s="100"/>
      <c r="Z207" s="100"/>
      <c r="AA207" s="100"/>
      <c r="AB207" s="100"/>
      <c r="AC207" s="100"/>
    </row>
    <row r="208" spans="1:29" x14ac:dyDescent="0.3">
      <c r="A208" s="179">
        <v>42</v>
      </c>
      <c r="B208" s="100"/>
      <c r="C208" s="100"/>
      <c r="D208" s="100"/>
      <c r="E208" s="100">
        <v>2.66</v>
      </c>
      <c r="F208" s="100"/>
      <c r="G208" s="100"/>
      <c r="H208" s="100"/>
      <c r="I208" s="100"/>
      <c r="J208" s="100"/>
      <c r="K208" s="100"/>
      <c r="L208" s="100"/>
      <c r="M208" s="100"/>
      <c r="N208" s="100"/>
      <c r="P208" s="179">
        <v>42</v>
      </c>
      <c r="Q208" s="100"/>
      <c r="R208" s="100"/>
      <c r="S208" s="100"/>
      <c r="T208" s="183">
        <v>2.69</v>
      </c>
      <c r="U208" s="100"/>
      <c r="V208" s="100"/>
      <c r="W208" s="100"/>
      <c r="X208" s="100"/>
      <c r="Y208" s="100"/>
      <c r="Z208" s="100"/>
      <c r="AA208" s="100"/>
      <c r="AB208" s="100"/>
      <c r="AC208" s="100"/>
    </row>
    <row r="209" spans="1:29" x14ac:dyDescent="0.3">
      <c r="A209" s="179">
        <v>48</v>
      </c>
      <c r="B209" s="100"/>
      <c r="C209" s="100"/>
      <c r="D209" s="100"/>
      <c r="E209" s="100">
        <v>3.06</v>
      </c>
      <c r="F209" s="100"/>
      <c r="G209" s="100"/>
      <c r="H209" s="100"/>
      <c r="I209" s="100"/>
      <c r="J209" s="100"/>
      <c r="K209" s="100"/>
      <c r="L209" s="100"/>
      <c r="M209" s="100"/>
      <c r="N209" s="100"/>
      <c r="P209" s="179">
        <v>48</v>
      </c>
      <c r="Q209" s="100"/>
      <c r="R209" s="100"/>
      <c r="S209" s="100"/>
      <c r="T209" s="183">
        <v>3.08</v>
      </c>
      <c r="U209" s="100"/>
      <c r="V209" s="100"/>
      <c r="W209" s="100"/>
      <c r="X209" s="100"/>
      <c r="Y209" s="100"/>
      <c r="Z209" s="100"/>
      <c r="AA209" s="100"/>
      <c r="AB209" s="100"/>
      <c r="AC209" s="100"/>
    </row>
    <row r="210" spans="1:29" x14ac:dyDescent="0.3">
      <c r="A210" s="83"/>
      <c r="B210" s="84"/>
      <c r="C210" s="84"/>
      <c r="D210" s="84"/>
      <c r="E210" s="84"/>
      <c r="F210" s="84"/>
      <c r="G210" s="84"/>
      <c r="H210" s="84"/>
      <c r="I210" s="84"/>
      <c r="J210" s="84"/>
      <c r="K210" s="84"/>
      <c r="L210" s="84"/>
      <c r="M210" s="84"/>
      <c r="N210" s="84"/>
      <c r="P210" s="83"/>
      <c r="Q210" s="84"/>
      <c r="R210" s="84"/>
      <c r="S210" s="84"/>
      <c r="T210" s="84"/>
      <c r="U210" s="84"/>
      <c r="V210" s="84"/>
      <c r="W210" s="84"/>
      <c r="X210" s="84"/>
      <c r="Y210" s="84"/>
      <c r="Z210" s="84"/>
      <c r="AA210" s="84"/>
      <c r="AB210" s="84"/>
      <c r="AC210" s="84"/>
    </row>
    <row r="211" spans="1:29" x14ac:dyDescent="0.3">
      <c r="A211" s="85" t="s">
        <v>756</v>
      </c>
      <c r="B211" s="100" t="s">
        <v>704</v>
      </c>
      <c r="C211" s="100" t="s">
        <v>705</v>
      </c>
      <c r="D211" s="100" t="s">
        <v>706</v>
      </c>
      <c r="E211" s="100" t="s">
        <v>707</v>
      </c>
      <c r="F211" s="100" t="s">
        <v>708</v>
      </c>
      <c r="G211" s="100" t="s">
        <v>709</v>
      </c>
      <c r="H211" s="100" t="s">
        <v>710</v>
      </c>
      <c r="I211" s="100" t="s">
        <v>711</v>
      </c>
      <c r="J211" s="100" t="s">
        <v>712</v>
      </c>
      <c r="K211" s="100" t="s">
        <v>713</v>
      </c>
      <c r="L211" s="100" t="s">
        <v>714</v>
      </c>
      <c r="M211" s="100" t="s">
        <v>715</v>
      </c>
      <c r="N211" s="100" t="s">
        <v>716</v>
      </c>
      <c r="P211" s="86" t="s">
        <v>757</v>
      </c>
      <c r="Q211" s="183" t="s">
        <v>704</v>
      </c>
      <c r="R211" s="183" t="s">
        <v>705</v>
      </c>
      <c r="S211" s="183" t="s">
        <v>706</v>
      </c>
      <c r="T211" s="183" t="s">
        <v>707</v>
      </c>
      <c r="U211" s="183" t="s">
        <v>708</v>
      </c>
      <c r="V211" s="183" t="s">
        <v>709</v>
      </c>
      <c r="W211" s="183" t="s">
        <v>710</v>
      </c>
      <c r="X211" s="183" t="s">
        <v>711</v>
      </c>
      <c r="Y211" s="183" t="s">
        <v>712</v>
      </c>
      <c r="Z211" s="183" t="s">
        <v>713</v>
      </c>
      <c r="AA211" s="183" t="s">
        <v>714</v>
      </c>
      <c r="AB211" s="183" t="s">
        <v>715</v>
      </c>
      <c r="AC211" s="183" t="s">
        <v>716</v>
      </c>
    </row>
    <row r="212" spans="1:29" x14ac:dyDescent="0.3">
      <c r="A212" s="179" t="s">
        <v>718</v>
      </c>
      <c r="B212" s="101">
        <v>7.0000000000000007E-2</v>
      </c>
      <c r="C212" s="100"/>
      <c r="D212" s="100"/>
      <c r="E212" s="100">
        <v>7.0000000000000007E-2</v>
      </c>
      <c r="F212" s="100">
        <v>7.0000000000000007E-2</v>
      </c>
      <c r="G212" s="100"/>
      <c r="H212" s="100">
        <v>7.0000000000000007E-2</v>
      </c>
      <c r="I212" s="101">
        <v>7.0000000000000007E-2</v>
      </c>
      <c r="J212" s="101"/>
      <c r="K212" s="100"/>
      <c r="L212" s="101"/>
      <c r="M212" s="101">
        <v>7.0000000000000007E-2</v>
      </c>
      <c r="N212" s="101">
        <v>7.0000000000000007E-2</v>
      </c>
      <c r="P212" s="179" t="s">
        <v>718</v>
      </c>
      <c r="Q212" s="183">
        <v>0.1</v>
      </c>
      <c r="R212" s="100"/>
      <c r="S212" s="100"/>
      <c r="T212" s="183">
        <v>0.1</v>
      </c>
      <c r="U212" s="183">
        <v>0.1</v>
      </c>
      <c r="V212" s="100"/>
      <c r="W212" s="183">
        <v>0.1</v>
      </c>
      <c r="X212" s="101">
        <v>0.1</v>
      </c>
      <c r="Y212" s="100"/>
      <c r="Z212" s="100"/>
      <c r="AA212" s="100"/>
      <c r="AB212" s="101">
        <v>0.1</v>
      </c>
      <c r="AC212" s="101">
        <v>0.1</v>
      </c>
    </row>
    <row r="213" spans="1:29" x14ac:dyDescent="0.3">
      <c r="A213" s="179" t="s">
        <v>719</v>
      </c>
      <c r="B213" s="101">
        <v>0.11</v>
      </c>
      <c r="C213" s="100"/>
      <c r="D213" s="100"/>
      <c r="E213" s="100">
        <v>0.11</v>
      </c>
      <c r="F213" s="100">
        <v>0.11</v>
      </c>
      <c r="G213" s="100"/>
      <c r="H213" s="100">
        <v>0.11</v>
      </c>
      <c r="I213" s="101">
        <v>0.11</v>
      </c>
      <c r="J213" s="101"/>
      <c r="K213" s="100"/>
      <c r="L213" s="101"/>
      <c r="M213" s="101">
        <v>0.11</v>
      </c>
      <c r="N213" s="101">
        <v>0.11</v>
      </c>
      <c r="P213" s="179" t="s">
        <v>719</v>
      </c>
      <c r="Q213" s="183">
        <v>0.13</v>
      </c>
      <c r="R213" s="100"/>
      <c r="S213" s="100"/>
      <c r="T213" s="183">
        <v>0.13</v>
      </c>
      <c r="U213" s="183">
        <v>0.13</v>
      </c>
      <c r="V213" s="100"/>
      <c r="W213" s="183">
        <v>0.13</v>
      </c>
      <c r="X213" s="101">
        <v>0.13</v>
      </c>
      <c r="Y213" s="100"/>
      <c r="Z213" s="100"/>
      <c r="AA213" s="100"/>
      <c r="AB213" s="101">
        <v>0.13</v>
      </c>
      <c r="AC213" s="101">
        <v>0.13</v>
      </c>
    </row>
    <row r="214" spans="1:29" x14ac:dyDescent="0.3">
      <c r="A214" s="179">
        <v>1</v>
      </c>
      <c r="B214" s="101">
        <v>0.14000000000000001</v>
      </c>
      <c r="C214" s="100"/>
      <c r="D214" s="100"/>
      <c r="E214" s="100">
        <v>0.14000000000000001</v>
      </c>
      <c r="F214" s="100">
        <v>0.14000000000000001</v>
      </c>
      <c r="G214" s="100"/>
      <c r="H214" s="100">
        <v>0.14000000000000001</v>
      </c>
      <c r="I214" s="101">
        <v>0.14000000000000001</v>
      </c>
      <c r="J214" s="101"/>
      <c r="K214" s="100"/>
      <c r="L214" s="101"/>
      <c r="M214" s="101">
        <v>0.14000000000000001</v>
      </c>
      <c r="N214" s="101">
        <v>0.14000000000000001</v>
      </c>
      <c r="P214" s="179">
        <v>1</v>
      </c>
      <c r="Q214" s="183">
        <v>0.17</v>
      </c>
      <c r="R214" s="100"/>
      <c r="S214" s="100"/>
      <c r="T214" s="183">
        <v>0.17</v>
      </c>
      <c r="U214" s="183">
        <v>0.17</v>
      </c>
      <c r="V214" s="100"/>
      <c r="W214" s="183">
        <v>0.17</v>
      </c>
      <c r="X214" s="101">
        <v>0.17</v>
      </c>
      <c r="Y214" s="100"/>
      <c r="Z214" s="100"/>
      <c r="AA214" s="100"/>
      <c r="AB214" s="101">
        <v>0.17</v>
      </c>
      <c r="AC214" s="101">
        <v>0.17</v>
      </c>
    </row>
    <row r="215" spans="1:29" x14ac:dyDescent="0.3">
      <c r="A215" s="179" t="s">
        <v>720</v>
      </c>
      <c r="B215" s="101">
        <v>0.18</v>
      </c>
      <c r="C215" s="100"/>
      <c r="D215" s="100"/>
      <c r="E215" s="100">
        <v>0.18</v>
      </c>
      <c r="F215" s="100">
        <v>0.18</v>
      </c>
      <c r="G215" s="100"/>
      <c r="H215" s="100">
        <v>0.18</v>
      </c>
      <c r="I215" s="101">
        <v>0.18</v>
      </c>
      <c r="J215" s="101"/>
      <c r="K215" s="100"/>
      <c r="L215" s="101"/>
      <c r="M215" s="101">
        <v>0.18</v>
      </c>
      <c r="N215" s="101">
        <v>0.18</v>
      </c>
      <c r="P215" s="179" t="s">
        <v>720</v>
      </c>
      <c r="Q215" s="183">
        <v>0.2</v>
      </c>
      <c r="R215" s="100"/>
      <c r="S215" s="100"/>
      <c r="T215" s="183">
        <v>0.2</v>
      </c>
      <c r="U215" s="183">
        <v>0.2</v>
      </c>
      <c r="V215" s="100"/>
      <c r="W215" s="183">
        <v>0.2</v>
      </c>
      <c r="X215" s="101">
        <v>0.2</v>
      </c>
      <c r="Y215" s="100"/>
      <c r="Z215" s="100"/>
      <c r="AA215" s="100"/>
      <c r="AB215" s="101">
        <v>0.2</v>
      </c>
      <c r="AC215" s="101">
        <v>0.2</v>
      </c>
    </row>
    <row r="216" spans="1:29" x14ac:dyDescent="0.3">
      <c r="A216" s="179">
        <v>2</v>
      </c>
      <c r="B216" s="101">
        <v>0.22</v>
      </c>
      <c r="C216" s="100"/>
      <c r="D216" s="100"/>
      <c r="E216" s="100">
        <v>0.22</v>
      </c>
      <c r="F216" s="100">
        <v>0.22</v>
      </c>
      <c r="G216" s="100"/>
      <c r="H216" s="100">
        <v>0.22</v>
      </c>
      <c r="I216" s="101">
        <v>0.22</v>
      </c>
      <c r="J216" s="101"/>
      <c r="K216" s="100"/>
      <c r="L216" s="101"/>
      <c r="M216" s="101">
        <v>0.22</v>
      </c>
      <c r="N216" s="101">
        <v>0.22</v>
      </c>
      <c r="P216" s="179">
        <v>2</v>
      </c>
      <c r="Q216" s="183">
        <v>0.23</v>
      </c>
      <c r="R216" s="100"/>
      <c r="S216" s="100"/>
      <c r="T216" s="183">
        <v>0.23</v>
      </c>
      <c r="U216" s="183">
        <v>0.23</v>
      </c>
      <c r="V216" s="100"/>
      <c r="W216" s="183">
        <v>0.23</v>
      </c>
      <c r="X216" s="101">
        <v>0.23</v>
      </c>
      <c r="Y216" s="100"/>
      <c r="Z216" s="100"/>
      <c r="AA216" s="100"/>
      <c r="AB216" s="101">
        <v>0.23</v>
      </c>
      <c r="AC216" s="101">
        <v>0.23</v>
      </c>
    </row>
    <row r="217" spans="1:29" x14ac:dyDescent="0.3">
      <c r="A217" s="179" t="s">
        <v>721</v>
      </c>
      <c r="B217" s="101">
        <v>0.26</v>
      </c>
      <c r="C217" s="100"/>
      <c r="D217" s="100"/>
      <c r="E217" s="100">
        <v>0.26</v>
      </c>
      <c r="F217" s="100">
        <v>0.26</v>
      </c>
      <c r="G217" s="100"/>
      <c r="H217" s="100">
        <v>0.26</v>
      </c>
      <c r="I217" s="101">
        <v>0.26</v>
      </c>
      <c r="J217" s="101"/>
      <c r="K217" s="100"/>
      <c r="L217" s="101"/>
      <c r="M217" s="101">
        <v>0.26</v>
      </c>
      <c r="N217" s="101">
        <v>0.31</v>
      </c>
      <c r="P217" s="179" t="s">
        <v>721</v>
      </c>
      <c r="Q217" s="183">
        <v>0.28999999999999998</v>
      </c>
      <c r="R217" s="100"/>
      <c r="S217" s="100"/>
      <c r="T217" s="183">
        <v>0.28999999999999998</v>
      </c>
      <c r="U217" s="183">
        <v>0.28999999999999998</v>
      </c>
      <c r="V217" s="100"/>
      <c r="W217" s="183">
        <v>0.28999999999999998</v>
      </c>
      <c r="X217" s="101">
        <v>0.28999999999999998</v>
      </c>
      <c r="Y217" s="100"/>
      <c r="Z217" s="100"/>
      <c r="AA217" s="100"/>
      <c r="AB217" s="101">
        <v>0.28999999999999998</v>
      </c>
      <c r="AC217" s="101">
        <v>0.34</v>
      </c>
    </row>
    <row r="218" spans="1:29" x14ac:dyDescent="0.3">
      <c r="A218" s="179">
        <v>3</v>
      </c>
      <c r="B218" s="101">
        <v>0.28999999999999998</v>
      </c>
      <c r="C218" s="100"/>
      <c r="D218" s="100"/>
      <c r="E218" s="100">
        <v>0.28999999999999998</v>
      </c>
      <c r="F218" s="100">
        <v>0.28999999999999998</v>
      </c>
      <c r="G218" s="100"/>
      <c r="H218" s="100">
        <v>0.28999999999999998</v>
      </c>
      <c r="I218" s="101">
        <v>0.28999999999999998</v>
      </c>
      <c r="J218" s="101"/>
      <c r="K218" s="100"/>
      <c r="L218" s="101"/>
      <c r="M218" s="101">
        <v>0.28999999999999998</v>
      </c>
      <c r="N218" s="101">
        <v>0.35</v>
      </c>
      <c r="P218" s="179">
        <v>3</v>
      </c>
      <c r="Q218" s="183">
        <v>0.34</v>
      </c>
      <c r="R218" s="100"/>
      <c r="S218" s="100"/>
      <c r="T218" s="183">
        <v>0.34</v>
      </c>
      <c r="U218" s="183">
        <v>0.34</v>
      </c>
      <c r="V218" s="100"/>
      <c r="W218" s="183">
        <v>0.34</v>
      </c>
      <c r="X218" s="101">
        <v>0.34</v>
      </c>
      <c r="Y218" s="100"/>
      <c r="Z218" s="100"/>
      <c r="AA218" s="100"/>
      <c r="AB218" s="101">
        <v>0.34</v>
      </c>
      <c r="AC218" s="101">
        <v>0.41</v>
      </c>
    </row>
    <row r="219" spans="1:29" x14ac:dyDescent="0.3">
      <c r="A219" s="179">
        <v>4</v>
      </c>
      <c r="B219" s="101">
        <v>0.36</v>
      </c>
      <c r="C219" s="100"/>
      <c r="D219" s="100"/>
      <c r="E219" s="100">
        <v>0.36</v>
      </c>
      <c r="F219" s="100">
        <v>0.36</v>
      </c>
      <c r="G219" s="100"/>
      <c r="H219" s="100">
        <v>0.36</v>
      </c>
      <c r="I219" s="101">
        <v>0.36</v>
      </c>
      <c r="J219" s="101"/>
      <c r="K219" s="100">
        <v>0.36</v>
      </c>
      <c r="L219" s="101"/>
      <c r="M219" s="101">
        <v>0.43</v>
      </c>
      <c r="N219" s="101">
        <v>0.43</v>
      </c>
      <c r="P219" s="179">
        <v>4</v>
      </c>
      <c r="Q219" s="183">
        <v>0.45</v>
      </c>
      <c r="R219" s="100"/>
      <c r="S219" s="100"/>
      <c r="T219" s="183">
        <v>0.45</v>
      </c>
      <c r="U219" s="183">
        <v>0.45</v>
      </c>
      <c r="V219" s="100"/>
      <c r="W219" s="183">
        <v>0.45</v>
      </c>
      <c r="X219" s="101">
        <v>0.45</v>
      </c>
      <c r="Y219" s="100"/>
      <c r="Z219" s="101">
        <v>0.45</v>
      </c>
      <c r="AA219" s="100"/>
      <c r="AB219" s="101">
        <v>0.54</v>
      </c>
      <c r="AC219" s="101">
        <v>0.54</v>
      </c>
    </row>
    <row r="220" spans="1:29" x14ac:dyDescent="0.3">
      <c r="A220" s="179">
        <v>6</v>
      </c>
      <c r="B220" s="101">
        <v>0.5</v>
      </c>
      <c r="C220" s="100"/>
      <c r="D220" s="100"/>
      <c r="E220" s="100">
        <v>0.5</v>
      </c>
      <c r="F220" s="100">
        <v>0.5</v>
      </c>
      <c r="G220" s="100"/>
      <c r="H220" s="100">
        <v>0.5</v>
      </c>
      <c r="I220" s="101">
        <v>0.5</v>
      </c>
      <c r="J220" s="100"/>
      <c r="K220" s="100">
        <v>0.6</v>
      </c>
      <c r="L220" s="100"/>
      <c r="M220" s="101">
        <v>0.6</v>
      </c>
      <c r="N220" s="101">
        <v>0.6</v>
      </c>
      <c r="P220" s="179">
        <v>6</v>
      </c>
      <c r="Q220" s="183">
        <v>0.59</v>
      </c>
      <c r="R220" s="100"/>
      <c r="S220" s="100"/>
      <c r="T220" s="183">
        <v>0.59</v>
      </c>
      <c r="U220" s="183">
        <v>0.59</v>
      </c>
      <c r="V220" s="100"/>
      <c r="W220" s="183">
        <v>0.59</v>
      </c>
      <c r="X220" s="101">
        <v>0.59</v>
      </c>
      <c r="Y220" s="101"/>
      <c r="Z220" s="101">
        <v>0.71</v>
      </c>
      <c r="AA220" s="100"/>
      <c r="AB220" s="101">
        <v>0.71</v>
      </c>
      <c r="AC220" s="101">
        <v>0.71</v>
      </c>
    </row>
    <row r="221" spans="1:29" x14ac:dyDescent="0.3">
      <c r="A221" s="179">
        <v>8</v>
      </c>
      <c r="B221" s="101">
        <v>0.65</v>
      </c>
      <c r="C221" s="101">
        <v>0.65</v>
      </c>
      <c r="D221" s="101">
        <v>0.65</v>
      </c>
      <c r="E221" s="100">
        <v>0.65</v>
      </c>
      <c r="F221" s="100">
        <v>0.65</v>
      </c>
      <c r="G221" s="100">
        <v>0.65</v>
      </c>
      <c r="H221" s="100">
        <v>0.65</v>
      </c>
      <c r="I221" s="101">
        <v>0.65</v>
      </c>
      <c r="J221" s="101">
        <v>0.78</v>
      </c>
      <c r="K221" s="100">
        <v>0.78</v>
      </c>
      <c r="L221" s="101">
        <v>0.78</v>
      </c>
      <c r="M221" s="101">
        <v>0.78</v>
      </c>
      <c r="N221" s="101">
        <v>0.78</v>
      </c>
      <c r="P221" s="179">
        <v>8</v>
      </c>
      <c r="Q221" s="183">
        <v>0.73</v>
      </c>
      <c r="R221" s="101">
        <v>0.73</v>
      </c>
      <c r="S221" s="101">
        <v>0.73</v>
      </c>
      <c r="T221" s="183">
        <v>0.73</v>
      </c>
      <c r="U221" s="183">
        <v>0.73</v>
      </c>
      <c r="V221" s="101">
        <v>0.73</v>
      </c>
      <c r="W221" s="183">
        <v>0.73</v>
      </c>
      <c r="X221" s="101">
        <v>0.73</v>
      </c>
      <c r="Y221" s="100">
        <v>0.88</v>
      </c>
      <c r="Z221" s="101">
        <v>0.88</v>
      </c>
      <c r="AA221" s="101">
        <v>0.88</v>
      </c>
      <c r="AB221" s="101">
        <v>0.88</v>
      </c>
      <c r="AC221" s="101">
        <v>0.88</v>
      </c>
    </row>
    <row r="222" spans="1:29" x14ac:dyDescent="0.3">
      <c r="A222" s="179">
        <v>10</v>
      </c>
      <c r="B222" s="101">
        <v>0.79</v>
      </c>
      <c r="C222" s="101">
        <v>0.79</v>
      </c>
      <c r="D222" s="101">
        <v>0.79</v>
      </c>
      <c r="E222" s="100">
        <v>0.79</v>
      </c>
      <c r="F222" s="100">
        <v>0.79</v>
      </c>
      <c r="G222" s="100">
        <v>0.79</v>
      </c>
      <c r="H222" s="100">
        <v>0.79</v>
      </c>
      <c r="I222" s="101">
        <v>0.95</v>
      </c>
      <c r="J222" s="101">
        <v>0.95</v>
      </c>
      <c r="K222" s="100">
        <v>0.95</v>
      </c>
      <c r="L222" s="101">
        <v>0.95</v>
      </c>
      <c r="M222" s="101">
        <v>1.19</v>
      </c>
      <c r="N222" s="101">
        <v>0.95</v>
      </c>
      <c r="P222" s="179">
        <v>10</v>
      </c>
      <c r="Q222" s="183">
        <v>0.88</v>
      </c>
      <c r="R222" s="101">
        <v>0.88</v>
      </c>
      <c r="S222" s="101">
        <v>0.88</v>
      </c>
      <c r="T222" s="183">
        <v>0.88</v>
      </c>
      <c r="U222" s="183">
        <v>0.88</v>
      </c>
      <c r="V222" s="101">
        <v>0.88</v>
      </c>
      <c r="W222" s="183">
        <v>0.88</v>
      </c>
      <c r="X222" s="101">
        <v>1.05</v>
      </c>
      <c r="Y222" s="100">
        <v>1.05</v>
      </c>
      <c r="Z222" s="101">
        <v>1.05</v>
      </c>
      <c r="AA222" s="101">
        <v>1.05</v>
      </c>
      <c r="AB222" s="101">
        <v>1.32</v>
      </c>
      <c r="AC222" s="101">
        <v>1.05</v>
      </c>
    </row>
    <row r="223" spans="1:29" x14ac:dyDescent="0.3">
      <c r="A223" s="179">
        <v>12</v>
      </c>
      <c r="B223" s="101">
        <v>0.94</v>
      </c>
      <c r="C223" s="101">
        <v>0.94</v>
      </c>
      <c r="D223" s="101">
        <v>0.94</v>
      </c>
      <c r="E223" s="100">
        <v>0.94</v>
      </c>
      <c r="F223" s="100">
        <v>0.94</v>
      </c>
      <c r="G223" s="100">
        <v>1.1200000000000001</v>
      </c>
      <c r="H223" s="100">
        <v>0.94</v>
      </c>
      <c r="I223" s="101">
        <v>1.1200000000000001</v>
      </c>
      <c r="J223" s="101">
        <v>1.1200000000000001</v>
      </c>
      <c r="K223" s="100">
        <v>1.1200000000000001</v>
      </c>
      <c r="L223" s="101">
        <v>1.4</v>
      </c>
      <c r="M223" s="101">
        <v>1.4</v>
      </c>
      <c r="N223" s="101">
        <v>1.1200000000000001</v>
      </c>
      <c r="P223" s="179">
        <v>12</v>
      </c>
      <c r="Q223" s="183">
        <v>1.02</v>
      </c>
      <c r="R223" s="101">
        <v>1.02</v>
      </c>
      <c r="S223" s="101">
        <v>1.02</v>
      </c>
      <c r="T223" s="183">
        <v>1.02</v>
      </c>
      <c r="U223" s="183">
        <v>1.02</v>
      </c>
      <c r="V223" s="101">
        <v>1.22</v>
      </c>
      <c r="W223" s="183">
        <v>1.02</v>
      </c>
      <c r="X223" s="101">
        <v>1.22</v>
      </c>
      <c r="Y223" s="100">
        <v>1.22</v>
      </c>
      <c r="Z223" s="101">
        <v>1.22</v>
      </c>
      <c r="AA223" s="101">
        <v>1.52</v>
      </c>
      <c r="AB223" s="101">
        <v>1.52</v>
      </c>
      <c r="AC223" s="101">
        <v>1.22</v>
      </c>
    </row>
    <row r="224" spans="1:29" x14ac:dyDescent="0.3">
      <c r="A224" s="179">
        <v>14</v>
      </c>
      <c r="B224" s="101">
        <v>1.08</v>
      </c>
      <c r="C224" s="101">
        <v>1.08</v>
      </c>
      <c r="D224" s="101">
        <v>1.08</v>
      </c>
      <c r="E224" s="100">
        <v>1.08</v>
      </c>
      <c r="F224" s="100">
        <v>1.08</v>
      </c>
      <c r="G224" s="100">
        <v>1.3</v>
      </c>
      <c r="H224" s="100">
        <v>1.08</v>
      </c>
      <c r="I224" s="101">
        <v>1.3</v>
      </c>
      <c r="J224" s="101">
        <v>1.3</v>
      </c>
      <c r="K224" s="100">
        <v>1.62</v>
      </c>
      <c r="L224" s="101">
        <v>1.62</v>
      </c>
      <c r="M224" s="101">
        <v>1.62</v>
      </c>
      <c r="N224" s="100"/>
      <c r="P224" s="179">
        <v>14</v>
      </c>
      <c r="Q224" s="183">
        <v>1.1599999999999999</v>
      </c>
      <c r="R224" s="101">
        <v>1.1599999999999999</v>
      </c>
      <c r="S224" s="101">
        <v>1.1599999999999999</v>
      </c>
      <c r="T224" s="183">
        <v>1.1599999999999999</v>
      </c>
      <c r="U224" s="183">
        <v>1.1599999999999999</v>
      </c>
      <c r="V224" s="101">
        <v>1.39</v>
      </c>
      <c r="W224" s="183">
        <v>1.1599999999999999</v>
      </c>
      <c r="X224" s="101">
        <v>1.39</v>
      </c>
      <c r="Y224" s="100">
        <v>1.39</v>
      </c>
      <c r="Z224" s="101">
        <v>1.74</v>
      </c>
      <c r="AA224" s="101">
        <v>1.74</v>
      </c>
      <c r="AB224" s="101">
        <v>1.74</v>
      </c>
      <c r="AC224" s="100"/>
    </row>
    <row r="225" spans="1:29" x14ac:dyDescent="0.3">
      <c r="A225" s="179">
        <v>16</v>
      </c>
      <c r="B225" s="101">
        <v>1.22</v>
      </c>
      <c r="C225" s="101">
        <v>1.22</v>
      </c>
      <c r="D225" s="101">
        <v>1.22</v>
      </c>
      <c r="E225" s="100">
        <v>1.22</v>
      </c>
      <c r="F225" s="100">
        <v>1.22</v>
      </c>
      <c r="G225" s="100">
        <v>1.47</v>
      </c>
      <c r="H225" s="100">
        <v>1.22</v>
      </c>
      <c r="I225" s="101">
        <v>1.47</v>
      </c>
      <c r="J225" s="101">
        <v>1.84</v>
      </c>
      <c r="K225" s="100">
        <v>1.84</v>
      </c>
      <c r="L225" s="101">
        <v>1.84</v>
      </c>
      <c r="M225" s="101">
        <v>1.84</v>
      </c>
      <c r="N225" s="100"/>
      <c r="P225" s="179">
        <v>16</v>
      </c>
      <c r="Q225" s="183">
        <v>1.3</v>
      </c>
      <c r="R225" s="101">
        <v>1.3</v>
      </c>
      <c r="S225" s="101">
        <v>1.3</v>
      </c>
      <c r="T225" s="183">
        <v>1.3</v>
      </c>
      <c r="U225" s="183">
        <v>1.3</v>
      </c>
      <c r="V225" s="101">
        <v>1.56</v>
      </c>
      <c r="W225" s="183">
        <v>1.3</v>
      </c>
      <c r="X225" s="101">
        <v>1.56</v>
      </c>
      <c r="Y225" s="100">
        <v>1.95</v>
      </c>
      <c r="Z225" s="101">
        <v>1.95</v>
      </c>
      <c r="AA225" s="101">
        <v>1.95</v>
      </c>
      <c r="AB225" s="101">
        <v>1.95</v>
      </c>
      <c r="AC225" s="100"/>
    </row>
    <row r="226" spans="1:29" x14ac:dyDescent="0.3">
      <c r="A226" s="179">
        <v>18</v>
      </c>
      <c r="B226" s="101">
        <v>1.37</v>
      </c>
      <c r="C226" s="101">
        <v>1.37</v>
      </c>
      <c r="D226" s="101">
        <v>1.37</v>
      </c>
      <c r="E226" s="100">
        <v>1.37</v>
      </c>
      <c r="F226" s="100">
        <v>1.64</v>
      </c>
      <c r="G226" s="100">
        <v>1.64</v>
      </c>
      <c r="H226" s="100">
        <v>1.37</v>
      </c>
      <c r="I226" s="101">
        <v>1.64</v>
      </c>
      <c r="J226" s="101">
        <v>2.0499999999999998</v>
      </c>
      <c r="K226" s="100">
        <v>2.0499999999999998</v>
      </c>
      <c r="L226" s="101">
        <v>2.0499999999999998</v>
      </c>
      <c r="M226" s="101">
        <v>2.0499999999999998</v>
      </c>
      <c r="N226" s="100"/>
      <c r="P226" s="179">
        <v>18</v>
      </c>
      <c r="Q226" s="183">
        <v>1.45</v>
      </c>
      <c r="R226" s="101">
        <v>1.45</v>
      </c>
      <c r="S226" s="101">
        <v>1.45</v>
      </c>
      <c r="T226" s="183">
        <v>1.45</v>
      </c>
      <c r="U226" s="183">
        <v>1.74</v>
      </c>
      <c r="V226" s="101">
        <v>1.74</v>
      </c>
      <c r="W226" s="183">
        <v>1.45</v>
      </c>
      <c r="X226" s="101">
        <v>1.74</v>
      </c>
      <c r="Y226" s="100">
        <v>2.17</v>
      </c>
      <c r="Z226" s="101">
        <v>2.17</v>
      </c>
      <c r="AA226" s="101">
        <v>2.17</v>
      </c>
      <c r="AB226" s="101">
        <v>2.17</v>
      </c>
      <c r="AC226" s="100"/>
    </row>
    <row r="227" spans="1:29" x14ac:dyDescent="0.3">
      <c r="A227" s="179">
        <v>20</v>
      </c>
      <c r="B227" s="101">
        <v>1.51</v>
      </c>
      <c r="C227" s="101">
        <v>1.51</v>
      </c>
      <c r="D227" s="101">
        <v>1.51</v>
      </c>
      <c r="E227" s="100">
        <v>1.51</v>
      </c>
      <c r="F227" s="100">
        <v>1.81</v>
      </c>
      <c r="G227" s="100">
        <v>1.81</v>
      </c>
      <c r="H227" s="100">
        <v>1.51</v>
      </c>
      <c r="I227" s="101">
        <v>2.27</v>
      </c>
      <c r="J227" s="101">
        <v>2.27</v>
      </c>
      <c r="K227" s="100">
        <v>2.27</v>
      </c>
      <c r="L227" s="101">
        <v>2.27</v>
      </c>
      <c r="M227" s="101">
        <v>2.27</v>
      </c>
      <c r="N227" s="100"/>
      <c r="P227" s="179">
        <v>20</v>
      </c>
      <c r="Q227" s="183">
        <v>1.59</v>
      </c>
      <c r="R227" s="101">
        <v>1.59</v>
      </c>
      <c r="S227" s="101">
        <v>1.59</v>
      </c>
      <c r="T227" s="183">
        <v>1.59</v>
      </c>
      <c r="U227" s="183">
        <v>1.91</v>
      </c>
      <c r="V227" s="101">
        <v>1.91</v>
      </c>
      <c r="W227" s="183">
        <v>1.59</v>
      </c>
      <c r="X227" s="101">
        <v>2.39</v>
      </c>
      <c r="Y227" s="100">
        <v>2.39</v>
      </c>
      <c r="Z227" s="101">
        <v>2.39</v>
      </c>
      <c r="AA227" s="101">
        <v>2.39</v>
      </c>
      <c r="AB227" s="101">
        <v>2.39</v>
      </c>
      <c r="AC227" s="100"/>
    </row>
    <row r="228" spans="1:29" x14ac:dyDescent="0.3">
      <c r="A228" s="179">
        <v>24</v>
      </c>
      <c r="B228" s="101">
        <v>1.9</v>
      </c>
      <c r="C228" s="101">
        <v>1.9</v>
      </c>
      <c r="D228" s="101">
        <v>2.2799999999999998</v>
      </c>
      <c r="E228" s="100">
        <v>1.9</v>
      </c>
      <c r="F228" s="100">
        <v>2.2799999999999998</v>
      </c>
      <c r="G228" s="100">
        <v>2.2799999999999998</v>
      </c>
      <c r="H228" s="100">
        <v>1.9</v>
      </c>
      <c r="I228" s="101">
        <v>2.86</v>
      </c>
      <c r="J228" s="101">
        <v>2.86</v>
      </c>
      <c r="K228" s="100">
        <v>2.86</v>
      </c>
      <c r="L228" s="101">
        <v>2.86</v>
      </c>
      <c r="M228" s="101">
        <v>2.86</v>
      </c>
      <c r="N228" s="100"/>
      <c r="P228" s="179">
        <v>24</v>
      </c>
      <c r="Q228" s="183">
        <v>1.8</v>
      </c>
      <c r="R228" s="101">
        <v>1.8</v>
      </c>
      <c r="S228" s="101">
        <v>2.39</v>
      </c>
      <c r="T228" s="183">
        <v>1.99</v>
      </c>
      <c r="U228" s="183">
        <v>2.4</v>
      </c>
      <c r="V228" s="101">
        <v>2.39</v>
      </c>
      <c r="W228" s="183">
        <v>1.8</v>
      </c>
      <c r="X228" s="101"/>
      <c r="Y228" s="100">
        <v>3</v>
      </c>
      <c r="Z228" s="101">
        <v>3</v>
      </c>
      <c r="AA228" s="101">
        <v>3</v>
      </c>
      <c r="AB228" s="101">
        <v>3</v>
      </c>
      <c r="AC228" s="100"/>
    </row>
    <row r="229" spans="1:29" x14ac:dyDescent="0.3">
      <c r="A229" s="179">
        <v>26</v>
      </c>
      <c r="B229" s="101"/>
      <c r="C229" s="101">
        <v>2.06</v>
      </c>
      <c r="D229" s="101">
        <v>2.48</v>
      </c>
      <c r="E229" s="100">
        <v>2.06</v>
      </c>
      <c r="F229" s="100">
        <v>2.48</v>
      </c>
      <c r="G229" s="100"/>
      <c r="H229" s="100">
        <v>2.06</v>
      </c>
      <c r="I229" s="100"/>
      <c r="J229" s="100"/>
      <c r="K229" s="100"/>
      <c r="L229" s="100"/>
      <c r="M229" s="100"/>
      <c r="N229" s="100"/>
      <c r="P229" s="179">
        <v>26</v>
      </c>
      <c r="Q229" s="183"/>
      <c r="R229" s="101">
        <v>1.95</v>
      </c>
      <c r="S229" s="101">
        <v>2.6</v>
      </c>
      <c r="T229" s="183">
        <v>2.16</v>
      </c>
      <c r="U229" s="183">
        <v>2.6</v>
      </c>
      <c r="V229" s="100"/>
      <c r="W229" s="183">
        <v>2.17</v>
      </c>
      <c r="X229" s="101"/>
      <c r="Y229" s="100"/>
      <c r="Z229" s="100"/>
      <c r="AA229" s="100"/>
      <c r="AB229" s="100"/>
      <c r="AC229" s="100"/>
    </row>
    <row r="230" spans="1:29" x14ac:dyDescent="0.3">
      <c r="A230" s="179">
        <v>28</v>
      </c>
      <c r="B230" s="101">
        <v>2.2200000000000002</v>
      </c>
      <c r="C230" s="101">
        <v>2.2200000000000002</v>
      </c>
      <c r="D230" s="101">
        <v>2.67</v>
      </c>
      <c r="E230" s="100">
        <v>2.2200000000000002</v>
      </c>
      <c r="F230" s="100">
        <v>2.67</v>
      </c>
      <c r="G230" s="100"/>
      <c r="H230" s="100">
        <v>2.2200000000000002</v>
      </c>
      <c r="I230" s="100"/>
      <c r="J230" s="100"/>
      <c r="K230" s="100"/>
      <c r="L230" s="100"/>
      <c r="M230" s="100"/>
      <c r="N230" s="100"/>
      <c r="P230" s="179">
        <v>28</v>
      </c>
      <c r="Q230" s="183">
        <v>2.1</v>
      </c>
      <c r="R230" s="101">
        <v>2.1</v>
      </c>
      <c r="S230" s="101">
        <v>2.8</v>
      </c>
      <c r="T230" s="183">
        <v>2.33</v>
      </c>
      <c r="U230" s="183">
        <v>2.8</v>
      </c>
      <c r="V230" s="100"/>
      <c r="W230" s="183">
        <v>2.33</v>
      </c>
      <c r="X230" s="101"/>
      <c r="Y230" s="100"/>
      <c r="Z230" s="100"/>
      <c r="AA230" s="100"/>
      <c r="AB230" s="100"/>
      <c r="AC230" s="100"/>
    </row>
    <row r="231" spans="1:29" x14ac:dyDescent="0.3">
      <c r="A231" s="179">
        <v>30</v>
      </c>
      <c r="B231" s="101">
        <v>2.34</v>
      </c>
      <c r="C231" s="101">
        <v>2.34</v>
      </c>
      <c r="D231" s="101">
        <v>2.8</v>
      </c>
      <c r="E231" s="100">
        <v>2.34</v>
      </c>
      <c r="F231" s="100">
        <v>2.8</v>
      </c>
      <c r="G231" s="100"/>
      <c r="H231" s="100">
        <v>2.34</v>
      </c>
      <c r="I231" s="100"/>
      <c r="J231" s="100"/>
      <c r="K231" s="100"/>
      <c r="L231" s="100"/>
      <c r="M231" s="100"/>
      <c r="N231" s="100"/>
      <c r="P231" s="179">
        <v>30</v>
      </c>
      <c r="Q231" s="183">
        <v>2.25</v>
      </c>
      <c r="R231" s="101">
        <v>2.25</v>
      </c>
      <c r="S231" s="101">
        <v>2.94</v>
      </c>
      <c r="T231" s="183">
        <v>2.46</v>
      </c>
      <c r="U231" s="183">
        <v>2.94</v>
      </c>
      <c r="V231" s="100"/>
      <c r="W231" s="183">
        <v>2.4500000000000002</v>
      </c>
      <c r="X231" s="101"/>
      <c r="Y231" s="100"/>
      <c r="Z231" s="100"/>
      <c r="AA231" s="100"/>
      <c r="AB231" s="100"/>
      <c r="AC231" s="100"/>
    </row>
    <row r="232" spans="1:29" x14ac:dyDescent="0.3">
      <c r="A232" s="179">
        <v>32</v>
      </c>
      <c r="B232" s="101">
        <v>2.4900000000000002</v>
      </c>
      <c r="C232" s="101">
        <v>2.4900000000000002</v>
      </c>
      <c r="D232" s="101">
        <v>2.99</v>
      </c>
      <c r="E232" s="100">
        <v>2.4900000000000002</v>
      </c>
      <c r="F232" s="100">
        <v>2.99</v>
      </c>
      <c r="G232" s="100"/>
      <c r="H232" s="100">
        <v>2.4900000000000002</v>
      </c>
      <c r="I232" s="100"/>
      <c r="J232" s="100"/>
      <c r="K232" s="100"/>
      <c r="L232" s="100"/>
      <c r="M232" s="100"/>
      <c r="N232" s="100"/>
      <c r="P232" s="179">
        <v>32</v>
      </c>
      <c r="Q232" s="183">
        <v>2.4</v>
      </c>
      <c r="R232" s="101">
        <v>2.4</v>
      </c>
      <c r="S232" s="101">
        <v>3.13</v>
      </c>
      <c r="T232" s="183">
        <v>2.61</v>
      </c>
      <c r="U232" s="183">
        <v>3.14</v>
      </c>
      <c r="V232" s="100"/>
      <c r="W232" s="183">
        <v>2.62</v>
      </c>
      <c r="X232" s="101"/>
      <c r="Y232" s="100"/>
      <c r="Z232" s="100"/>
      <c r="AA232" s="100"/>
      <c r="AB232" s="100"/>
      <c r="AC232" s="100"/>
    </row>
    <row r="233" spans="1:29" x14ac:dyDescent="0.3">
      <c r="A233" s="179">
        <v>36</v>
      </c>
      <c r="B233" s="100"/>
      <c r="C233" s="101">
        <v>2.78</v>
      </c>
      <c r="D233" s="101">
        <v>3.33</v>
      </c>
      <c r="E233" s="100">
        <v>2.78</v>
      </c>
      <c r="F233" s="100">
        <v>3.33</v>
      </c>
      <c r="G233" s="100"/>
      <c r="H233" s="100">
        <v>2.78</v>
      </c>
      <c r="I233" s="100"/>
      <c r="J233" s="100"/>
      <c r="K233" s="100"/>
      <c r="L233" s="100"/>
      <c r="M233" s="100"/>
      <c r="N233" s="100"/>
      <c r="P233" s="179">
        <v>36</v>
      </c>
      <c r="Q233" s="100"/>
      <c r="R233" s="101">
        <v>2.69</v>
      </c>
      <c r="S233" s="101">
        <v>3.49</v>
      </c>
      <c r="T233" s="183">
        <v>2.92</v>
      </c>
      <c r="U233" s="183">
        <v>3.5</v>
      </c>
      <c r="V233" s="100"/>
      <c r="W233" s="183">
        <v>2.91</v>
      </c>
      <c r="X233" s="101"/>
      <c r="Y233" s="100"/>
      <c r="Z233" s="100"/>
      <c r="AA233" s="100"/>
      <c r="AB233" s="100"/>
      <c r="AC233" s="100"/>
    </row>
    <row r="234" spans="1:29" x14ac:dyDescent="0.3">
      <c r="A234" s="179">
        <v>42</v>
      </c>
      <c r="B234" s="100"/>
      <c r="C234" s="100"/>
      <c r="D234" s="100"/>
      <c r="E234" s="100">
        <v>3.21</v>
      </c>
      <c r="F234" s="100"/>
      <c r="G234" s="100"/>
      <c r="H234" s="100"/>
      <c r="I234" s="100"/>
      <c r="J234" s="100"/>
      <c r="K234" s="100"/>
      <c r="L234" s="100"/>
      <c r="M234" s="100"/>
      <c r="N234" s="100"/>
      <c r="P234" s="179">
        <v>42</v>
      </c>
      <c r="Q234" s="100"/>
      <c r="R234" s="100"/>
      <c r="S234" s="100"/>
      <c r="T234" s="183">
        <v>3.37</v>
      </c>
      <c r="U234" s="100"/>
      <c r="V234" s="100"/>
      <c r="W234" s="100"/>
      <c r="X234" s="100"/>
      <c r="Y234" s="100"/>
      <c r="Z234" s="100"/>
      <c r="AA234" s="100"/>
      <c r="AB234" s="100"/>
      <c r="AC234" s="100"/>
    </row>
    <row r="235" spans="1:29" x14ac:dyDescent="0.3">
      <c r="A235" s="179">
        <v>48</v>
      </c>
      <c r="B235" s="100"/>
      <c r="C235" s="100"/>
      <c r="D235" s="100"/>
      <c r="E235" s="100">
        <v>3.64</v>
      </c>
      <c r="F235" s="100"/>
      <c r="G235" s="100"/>
      <c r="H235" s="100"/>
      <c r="I235" s="100"/>
      <c r="J235" s="100"/>
      <c r="K235" s="100"/>
      <c r="L235" s="100"/>
      <c r="M235" s="100"/>
      <c r="N235" s="100"/>
      <c r="P235" s="179">
        <v>48</v>
      </c>
      <c r="Q235" s="100"/>
      <c r="R235" s="100"/>
      <c r="S235" s="100"/>
      <c r="T235" s="183">
        <v>3.82</v>
      </c>
      <c r="U235" s="100"/>
      <c r="V235" s="100"/>
      <c r="W235" s="100"/>
      <c r="X235" s="100"/>
      <c r="Y235" s="100"/>
      <c r="Z235" s="100"/>
      <c r="AA235" s="100"/>
      <c r="AB235" s="100"/>
      <c r="AC235" s="100"/>
    </row>
    <row r="236" spans="1:29" x14ac:dyDescent="0.3">
      <c r="A236" s="98"/>
      <c r="B236" s="84"/>
      <c r="C236" s="84"/>
      <c r="D236" s="84"/>
      <c r="E236" s="84"/>
      <c r="F236" s="84"/>
      <c r="G236" s="84"/>
      <c r="H236" s="84"/>
      <c r="I236" s="84"/>
      <c r="J236" s="84"/>
      <c r="K236" s="84"/>
      <c r="L236" s="84"/>
      <c r="M236" s="84"/>
      <c r="N236" s="84"/>
      <c r="P236" s="83"/>
      <c r="Q236" s="84"/>
      <c r="R236" s="84"/>
      <c r="S236" s="84"/>
      <c r="T236" s="84"/>
      <c r="U236" s="84"/>
      <c r="V236" s="84"/>
      <c r="W236" s="84"/>
      <c r="X236" s="84"/>
      <c r="Y236" s="84"/>
      <c r="Z236" s="84"/>
      <c r="AA236" s="84"/>
      <c r="AB236" s="84"/>
      <c r="AC236" s="84"/>
    </row>
    <row r="237" spans="1:29" x14ac:dyDescent="0.3">
      <c r="A237" s="85" t="s">
        <v>758</v>
      </c>
      <c r="B237" s="100" t="s">
        <v>704</v>
      </c>
      <c r="C237" s="100" t="s">
        <v>705</v>
      </c>
      <c r="D237" s="100" t="s">
        <v>706</v>
      </c>
      <c r="E237" s="100" t="s">
        <v>707</v>
      </c>
      <c r="F237" s="100" t="s">
        <v>708</v>
      </c>
      <c r="G237" s="100" t="s">
        <v>709</v>
      </c>
      <c r="H237" s="100" t="s">
        <v>710</v>
      </c>
      <c r="I237" s="100" t="s">
        <v>711</v>
      </c>
      <c r="J237" s="100" t="s">
        <v>712</v>
      </c>
      <c r="K237" s="100" t="s">
        <v>713</v>
      </c>
      <c r="L237" s="100" t="s">
        <v>714</v>
      </c>
      <c r="M237" s="100" t="s">
        <v>715</v>
      </c>
      <c r="N237" s="100" t="s">
        <v>716</v>
      </c>
      <c r="P237" s="86" t="s">
        <v>759</v>
      </c>
      <c r="Q237" s="183" t="s">
        <v>704</v>
      </c>
      <c r="R237" s="183" t="s">
        <v>705</v>
      </c>
      <c r="S237" s="183" t="s">
        <v>706</v>
      </c>
      <c r="T237" s="183" t="s">
        <v>707</v>
      </c>
      <c r="U237" s="183" t="s">
        <v>708</v>
      </c>
      <c r="V237" s="183" t="s">
        <v>709</v>
      </c>
      <c r="W237" s="183" t="s">
        <v>710</v>
      </c>
      <c r="X237" s="183" t="s">
        <v>711</v>
      </c>
      <c r="Y237" s="183" t="s">
        <v>712</v>
      </c>
      <c r="Z237" s="183" t="s">
        <v>713</v>
      </c>
      <c r="AA237" s="183" t="s">
        <v>714</v>
      </c>
      <c r="AB237" s="183" t="s">
        <v>715</v>
      </c>
      <c r="AC237" s="183" t="s">
        <v>716</v>
      </c>
    </row>
    <row r="238" spans="1:29" x14ac:dyDescent="0.3">
      <c r="A238" s="179" t="s">
        <v>718</v>
      </c>
      <c r="B238" s="101">
        <v>0.11</v>
      </c>
      <c r="C238" s="100"/>
      <c r="D238" s="100"/>
      <c r="E238" s="100">
        <v>0.11</v>
      </c>
      <c r="F238" s="100">
        <v>0.11</v>
      </c>
      <c r="G238" s="100"/>
      <c r="H238" s="100">
        <v>0.11</v>
      </c>
      <c r="I238" s="101">
        <v>0.11</v>
      </c>
      <c r="J238" s="101"/>
      <c r="K238" s="100"/>
      <c r="L238" s="101"/>
      <c r="M238" s="101">
        <v>0.11</v>
      </c>
      <c r="N238" s="101">
        <v>0.11</v>
      </c>
      <c r="P238" s="179" t="s">
        <v>718</v>
      </c>
      <c r="Q238" s="183">
        <v>0.12</v>
      </c>
      <c r="R238" s="100"/>
      <c r="S238" s="100"/>
      <c r="T238" s="183">
        <v>0.12</v>
      </c>
      <c r="U238" s="183">
        <v>0.12</v>
      </c>
      <c r="V238" s="100"/>
      <c r="W238" s="183">
        <v>0.12</v>
      </c>
      <c r="X238" s="101">
        <v>0.12</v>
      </c>
      <c r="Y238" s="100"/>
      <c r="Z238" s="100"/>
      <c r="AA238" s="100"/>
      <c r="AB238" s="101">
        <v>0.12</v>
      </c>
      <c r="AC238" s="101">
        <v>0.12</v>
      </c>
    </row>
    <row r="239" spans="1:29" x14ac:dyDescent="0.3">
      <c r="A239" s="179" t="s">
        <v>719</v>
      </c>
      <c r="B239" s="101">
        <v>0.15</v>
      </c>
      <c r="C239" s="100"/>
      <c r="D239" s="100"/>
      <c r="E239" s="100">
        <v>0.15</v>
      </c>
      <c r="F239" s="100">
        <v>0.15</v>
      </c>
      <c r="G239" s="100"/>
      <c r="H239" s="100">
        <v>0.15</v>
      </c>
      <c r="I239" s="101">
        <v>0.15</v>
      </c>
      <c r="J239" s="101"/>
      <c r="K239" s="100"/>
      <c r="L239" s="101"/>
      <c r="M239" s="101">
        <v>0.15</v>
      </c>
      <c r="N239" s="101">
        <v>0.15</v>
      </c>
      <c r="P239" s="179" t="s">
        <v>719</v>
      </c>
      <c r="Q239" s="183">
        <v>0.18</v>
      </c>
      <c r="R239" s="100"/>
      <c r="S239" s="100"/>
      <c r="T239" s="183">
        <v>0.18</v>
      </c>
      <c r="U239" s="183">
        <v>0.18</v>
      </c>
      <c r="V239" s="100"/>
      <c r="W239" s="183">
        <v>0.18</v>
      </c>
      <c r="X239" s="101">
        <v>0.18</v>
      </c>
      <c r="Y239" s="100"/>
      <c r="Z239" s="100"/>
      <c r="AA239" s="100"/>
      <c r="AB239" s="101">
        <v>0.18</v>
      </c>
      <c r="AC239" s="101">
        <v>0.18</v>
      </c>
    </row>
    <row r="240" spans="1:29" x14ac:dyDescent="0.3">
      <c r="A240" s="179">
        <v>1</v>
      </c>
      <c r="B240" s="101">
        <v>0.17</v>
      </c>
      <c r="C240" s="100"/>
      <c r="D240" s="100"/>
      <c r="E240" s="100">
        <v>0.17</v>
      </c>
      <c r="F240" s="100">
        <v>0.17</v>
      </c>
      <c r="G240" s="100"/>
      <c r="H240" s="100">
        <v>0.17</v>
      </c>
      <c r="I240" s="101">
        <v>0.17</v>
      </c>
      <c r="J240" s="101"/>
      <c r="K240" s="100"/>
      <c r="L240" s="101"/>
      <c r="M240" s="101">
        <v>0.17</v>
      </c>
      <c r="N240" s="101">
        <v>0.17</v>
      </c>
      <c r="P240" s="179">
        <v>1</v>
      </c>
      <c r="Q240" s="183">
        <v>0.19</v>
      </c>
      <c r="R240" s="100"/>
      <c r="S240" s="100"/>
      <c r="T240" s="183">
        <v>0.19</v>
      </c>
      <c r="U240" s="183">
        <v>0.19</v>
      </c>
      <c r="V240" s="100"/>
      <c r="W240" s="183">
        <v>0.19</v>
      </c>
      <c r="X240" s="101">
        <v>0.19</v>
      </c>
      <c r="Y240" s="100"/>
      <c r="Z240" s="100"/>
      <c r="AA240" s="100"/>
      <c r="AB240" s="101">
        <v>0.19</v>
      </c>
      <c r="AC240" s="101">
        <v>0.19</v>
      </c>
    </row>
    <row r="241" spans="1:29" x14ac:dyDescent="0.3">
      <c r="A241" s="179" t="s">
        <v>720</v>
      </c>
      <c r="B241" s="101">
        <v>0.18</v>
      </c>
      <c r="C241" s="100"/>
      <c r="D241" s="100"/>
      <c r="E241" s="100">
        <v>0.18</v>
      </c>
      <c r="F241" s="100">
        <v>0.18</v>
      </c>
      <c r="G241" s="100"/>
      <c r="H241" s="100">
        <v>0.18</v>
      </c>
      <c r="I241" s="101">
        <v>0.18</v>
      </c>
      <c r="J241" s="101"/>
      <c r="K241" s="100"/>
      <c r="L241" s="101"/>
      <c r="M241" s="101">
        <v>0.18</v>
      </c>
      <c r="N241" s="101">
        <v>0.18</v>
      </c>
      <c r="P241" s="179" t="s">
        <v>720</v>
      </c>
      <c r="Q241" s="183">
        <v>0.21</v>
      </c>
      <c r="R241" s="100"/>
      <c r="S241" s="100"/>
      <c r="T241" s="183">
        <v>0.21</v>
      </c>
      <c r="U241" s="183">
        <v>0.21</v>
      </c>
      <c r="V241" s="100"/>
      <c r="W241" s="183">
        <v>0.21</v>
      </c>
      <c r="X241" s="101">
        <v>0.21</v>
      </c>
      <c r="Y241" s="100"/>
      <c r="Z241" s="100"/>
      <c r="AA241" s="100"/>
      <c r="AB241" s="101">
        <v>0.21</v>
      </c>
      <c r="AC241" s="101">
        <v>0.21</v>
      </c>
    </row>
    <row r="242" spans="1:29" x14ac:dyDescent="0.3">
      <c r="A242" s="179">
        <v>2</v>
      </c>
      <c r="B242" s="101">
        <v>0.2</v>
      </c>
      <c r="C242" s="100"/>
      <c r="D242" s="100"/>
      <c r="E242" s="100">
        <v>0.2</v>
      </c>
      <c r="F242" s="100">
        <v>0.2</v>
      </c>
      <c r="G242" s="100"/>
      <c r="H242" s="100">
        <v>0.2</v>
      </c>
      <c r="I242" s="101">
        <v>0.2</v>
      </c>
      <c r="J242" s="101"/>
      <c r="K242" s="100"/>
      <c r="L242" s="101"/>
      <c r="M242" s="101">
        <v>0.2</v>
      </c>
      <c r="N242" s="101">
        <v>0.2</v>
      </c>
      <c r="P242" s="179">
        <v>2</v>
      </c>
      <c r="Q242" s="183">
        <v>0.24</v>
      </c>
      <c r="R242" s="100"/>
      <c r="S242" s="100"/>
      <c r="T242" s="183">
        <v>0.24</v>
      </c>
      <c r="U242" s="183">
        <v>0.24</v>
      </c>
      <c r="V242" s="100"/>
      <c r="W242" s="183">
        <v>0.24</v>
      </c>
      <c r="X242" s="101">
        <v>0.24</v>
      </c>
      <c r="Y242" s="100"/>
      <c r="Z242" s="100"/>
      <c r="AA242" s="100"/>
      <c r="AB242" s="101">
        <v>0.24</v>
      </c>
      <c r="AC242" s="101">
        <v>0.24</v>
      </c>
    </row>
    <row r="243" spans="1:29" x14ac:dyDescent="0.3">
      <c r="A243" s="179" t="s">
        <v>721</v>
      </c>
      <c r="B243" s="101">
        <v>0.24</v>
      </c>
      <c r="C243" s="100"/>
      <c r="D243" s="100"/>
      <c r="E243" s="100">
        <v>0.24</v>
      </c>
      <c r="F243" s="100">
        <v>0.24</v>
      </c>
      <c r="G243" s="100"/>
      <c r="H243" s="100">
        <v>0.24</v>
      </c>
      <c r="I243" s="101">
        <v>0.24</v>
      </c>
      <c r="J243" s="101"/>
      <c r="K243" s="100"/>
      <c r="L243" s="101"/>
      <c r="M243" s="101">
        <v>0.24</v>
      </c>
      <c r="N243" s="101">
        <v>0.26</v>
      </c>
      <c r="P243" s="179" t="s">
        <v>721</v>
      </c>
      <c r="Q243" s="183">
        <v>0.28000000000000003</v>
      </c>
      <c r="R243" s="100"/>
      <c r="S243" s="100"/>
      <c r="T243" s="183">
        <v>0.28000000000000003</v>
      </c>
      <c r="U243" s="183">
        <v>0.28000000000000003</v>
      </c>
      <c r="V243" s="100"/>
      <c r="W243" s="183">
        <v>0.28000000000000003</v>
      </c>
      <c r="X243" s="101">
        <v>0.28000000000000003</v>
      </c>
      <c r="Y243" s="100"/>
      <c r="Z243" s="100"/>
      <c r="AA243" s="100"/>
      <c r="AB243" s="101">
        <v>0.28000000000000003</v>
      </c>
      <c r="AC243" s="101">
        <v>0.3</v>
      </c>
    </row>
    <row r="244" spans="1:29" x14ac:dyDescent="0.3">
      <c r="A244" s="179">
        <v>3</v>
      </c>
      <c r="B244" s="101">
        <v>0.27</v>
      </c>
      <c r="C244" s="100"/>
      <c r="D244" s="100"/>
      <c r="E244" s="100">
        <v>0.27</v>
      </c>
      <c r="F244" s="100">
        <v>0.27</v>
      </c>
      <c r="G244" s="100"/>
      <c r="H244" s="100">
        <v>0.27</v>
      </c>
      <c r="I244" s="101">
        <v>0.27</v>
      </c>
      <c r="J244" s="101"/>
      <c r="K244" s="100"/>
      <c r="L244" s="101"/>
      <c r="M244" s="101">
        <v>0.27</v>
      </c>
      <c r="N244" s="101">
        <v>0.3</v>
      </c>
      <c r="P244" s="179">
        <v>3</v>
      </c>
      <c r="Q244" s="183">
        <v>0.31</v>
      </c>
      <c r="R244" s="100"/>
      <c r="S244" s="100"/>
      <c r="T244" s="183">
        <v>0.31</v>
      </c>
      <c r="U244" s="183">
        <v>0.31</v>
      </c>
      <c r="V244" s="100"/>
      <c r="W244" s="183">
        <v>0.31</v>
      </c>
      <c r="X244" s="101">
        <v>0.31</v>
      </c>
      <c r="Y244" s="100"/>
      <c r="Z244" s="100"/>
      <c r="AA244" s="100"/>
      <c r="AB244" s="101">
        <v>0.31</v>
      </c>
      <c r="AC244" s="101">
        <v>0.34</v>
      </c>
    </row>
    <row r="245" spans="1:29" x14ac:dyDescent="0.3">
      <c r="A245" s="179">
        <v>4</v>
      </c>
      <c r="B245" s="101">
        <v>0.34</v>
      </c>
      <c r="C245" s="100"/>
      <c r="D245" s="100"/>
      <c r="E245" s="100">
        <v>0.34</v>
      </c>
      <c r="F245" s="100">
        <v>0.34</v>
      </c>
      <c r="G245" s="100"/>
      <c r="H245" s="100">
        <v>0.34</v>
      </c>
      <c r="I245" s="101">
        <v>0.34</v>
      </c>
      <c r="J245" s="101"/>
      <c r="K245" s="100">
        <v>0.34</v>
      </c>
      <c r="L245" s="101"/>
      <c r="M245" s="101">
        <v>0.37</v>
      </c>
      <c r="N245" s="101">
        <v>0.37</v>
      </c>
      <c r="P245" s="179">
        <v>4</v>
      </c>
      <c r="Q245" s="183">
        <v>0.37</v>
      </c>
      <c r="R245" s="100"/>
      <c r="S245" s="100"/>
      <c r="T245" s="183">
        <v>0.37</v>
      </c>
      <c r="U245" s="183">
        <v>0.37</v>
      </c>
      <c r="V245" s="100"/>
      <c r="W245" s="183">
        <v>0.37</v>
      </c>
      <c r="X245" s="101">
        <v>0.37</v>
      </c>
      <c r="Y245" s="100"/>
      <c r="Z245" s="101">
        <v>0.37</v>
      </c>
      <c r="AA245" s="100"/>
      <c r="AB245" s="101">
        <v>0.41</v>
      </c>
      <c r="AC245" s="101">
        <v>0.4</v>
      </c>
    </row>
    <row r="246" spans="1:29" x14ac:dyDescent="0.3">
      <c r="A246" s="179">
        <v>6</v>
      </c>
      <c r="B246" s="101"/>
      <c r="C246" s="100"/>
      <c r="D246" s="100"/>
      <c r="E246" s="100"/>
      <c r="F246" s="100"/>
      <c r="G246" s="100"/>
      <c r="H246" s="100"/>
      <c r="I246" s="101"/>
      <c r="J246" s="101"/>
      <c r="K246" s="100"/>
      <c r="L246" s="101"/>
      <c r="M246" s="101"/>
      <c r="N246" s="101"/>
      <c r="P246" s="179">
        <v>6</v>
      </c>
      <c r="Q246" s="101"/>
      <c r="R246" s="100"/>
      <c r="S246" s="100"/>
      <c r="T246" s="101"/>
      <c r="U246" s="101"/>
      <c r="V246" s="100"/>
      <c r="W246" s="101"/>
      <c r="X246" s="101"/>
      <c r="Y246" s="101"/>
      <c r="Z246" s="101"/>
      <c r="AA246" s="100"/>
      <c r="AB246" s="101"/>
      <c r="AC246" s="101"/>
    </row>
    <row r="247" spans="1:29" x14ac:dyDescent="0.3">
      <c r="A247" s="179">
        <v>8</v>
      </c>
      <c r="B247" s="101"/>
      <c r="C247" s="100"/>
      <c r="D247" s="100"/>
      <c r="E247" s="100"/>
      <c r="F247" s="100"/>
      <c r="G247" s="100"/>
      <c r="H247" s="100"/>
      <c r="I247" s="101"/>
      <c r="J247" s="101"/>
      <c r="K247" s="100"/>
      <c r="L247" s="101"/>
      <c r="M247" s="101"/>
      <c r="N247" s="101"/>
      <c r="P247" s="179">
        <v>8</v>
      </c>
      <c r="Q247" s="101"/>
      <c r="R247" s="101"/>
      <c r="S247" s="101"/>
      <c r="T247" s="101"/>
      <c r="U247" s="101"/>
      <c r="V247" s="101"/>
      <c r="W247" s="101"/>
      <c r="X247" s="101"/>
      <c r="Y247" s="100"/>
      <c r="Z247" s="101"/>
      <c r="AA247" s="101"/>
      <c r="AB247" s="101"/>
      <c r="AC247" s="101"/>
    </row>
    <row r="248" spans="1:29" x14ac:dyDescent="0.3">
      <c r="A248" s="179">
        <v>10</v>
      </c>
      <c r="B248" s="101"/>
      <c r="C248" s="100"/>
      <c r="D248" s="100"/>
      <c r="E248" s="100"/>
      <c r="F248" s="100"/>
      <c r="G248" s="100"/>
      <c r="H248" s="100"/>
      <c r="I248" s="101"/>
      <c r="J248" s="101"/>
      <c r="K248" s="100"/>
      <c r="L248" s="101"/>
      <c r="M248" s="101"/>
      <c r="N248" s="101"/>
      <c r="P248" s="179">
        <v>10</v>
      </c>
      <c r="Q248" s="101"/>
      <c r="R248" s="101"/>
      <c r="S248" s="101"/>
      <c r="T248" s="101"/>
      <c r="U248" s="101"/>
      <c r="V248" s="101"/>
      <c r="W248" s="101"/>
      <c r="X248" s="101"/>
      <c r="Y248" s="100"/>
      <c r="Z248" s="101"/>
      <c r="AA248" s="101"/>
      <c r="AB248" s="101"/>
      <c r="AC248" s="101"/>
    </row>
    <row r="249" spans="1:29" x14ac:dyDescent="0.3">
      <c r="A249" s="179">
        <v>12</v>
      </c>
      <c r="B249" s="101"/>
      <c r="C249" s="100"/>
      <c r="D249" s="100"/>
      <c r="E249" s="100"/>
      <c r="F249" s="100"/>
      <c r="G249" s="100"/>
      <c r="H249" s="100"/>
      <c r="I249" s="101"/>
      <c r="J249" s="101"/>
      <c r="K249" s="100"/>
      <c r="L249" s="101"/>
      <c r="M249" s="101"/>
      <c r="N249" s="101"/>
      <c r="P249" s="179">
        <v>12</v>
      </c>
      <c r="Q249" s="101"/>
      <c r="R249" s="101"/>
      <c r="S249" s="101"/>
      <c r="T249" s="101"/>
      <c r="U249" s="101"/>
      <c r="V249" s="101"/>
      <c r="W249" s="101"/>
      <c r="X249" s="101"/>
      <c r="Y249" s="100"/>
      <c r="Z249" s="101"/>
      <c r="AA249" s="101"/>
      <c r="AB249" s="101"/>
      <c r="AC249" s="101"/>
    </row>
    <row r="250" spans="1:29" x14ac:dyDescent="0.3">
      <c r="A250" s="179">
        <v>14</v>
      </c>
      <c r="B250" s="101"/>
      <c r="C250" s="100"/>
      <c r="D250" s="100"/>
      <c r="E250" s="100"/>
      <c r="F250" s="100"/>
      <c r="G250" s="100"/>
      <c r="H250" s="100"/>
      <c r="I250" s="101"/>
      <c r="J250" s="101"/>
      <c r="K250" s="100"/>
      <c r="L250" s="101"/>
      <c r="M250" s="101"/>
      <c r="N250" s="101"/>
      <c r="P250" s="179">
        <v>14</v>
      </c>
      <c r="Q250" s="101"/>
      <c r="R250" s="101"/>
      <c r="S250" s="101"/>
      <c r="T250" s="101"/>
      <c r="U250" s="101"/>
      <c r="V250" s="101"/>
      <c r="W250" s="101"/>
      <c r="X250" s="101"/>
      <c r="Y250" s="100"/>
      <c r="Z250" s="101"/>
      <c r="AA250" s="101"/>
      <c r="AB250" s="101"/>
      <c r="AC250" s="100"/>
    </row>
    <row r="251" spans="1:29" x14ac:dyDescent="0.3">
      <c r="A251" s="179">
        <v>16</v>
      </c>
      <c r="B251" s="101"/>
      <c r="C251" s="100"/>
      <c r="D251" s="100"/>
      <c r="E251" s="100"/>
      <c r="F251" s="100"/>
      <c r="G251" s="100"/>
      <c r="H251" s="100"/>
      <c r="I251" s="101"/>
      <c r="J251" s="101"/>
      <c r="K251" s="100"/>
      <c r="L251" s="101"/>
      <c r="M251" s="101"/>
      <c r="N251" s="101"/>
      <c r="P251" s="179">
        <v>16</v>
      </c>
      <c r="Q251" s="101"/>
      <c r="R251" s="101"/>
      <c r="S251" s="101"/>
      <c r="T251" s="101"/>
      <c r="U251" s="101"/>
      <c r="V251" s="101"/>
      <c r="W251" s="101"/>
      <c r="X251" s="101"/>
      <c r="Y251" s="100"/>
      <c r="Z251" s="101"/>
      <c r="AA251" s="101"/>
      <c r="AB251" s="101"/>
      <c r="AC251" s="100"/>
    </row>
    <row r="252" spans="1:29" x14ac:dyDescent="0.3">
      <c r="A252" s="179">
        <v>18</v>
      </c>
      <c r="B252" s="101"/>
      <c r="C252" s="100"/>
      <c r="D252" s="100"/>
      <c r="E252" s="100"/>
      <c r="F252" s="100"/>
      <c r="G252" s="100"/>
      <c r="H252" s="100"/>
      <c r="I252" s="101"/>
      <c r="J252" s="101"/>
      <c r="K252" s="100"/>
      <c r="L252" s="101"/>
      <c r="M252" s="101"/>
      <c r="N252" s="101"/>
      <c r="P252" s="179">
        <v>18</v>
      </c>
      <c r="Q252" s="101"/>
      <c r="R252" s="101"/>
      <c r="S252" s="101"/>
      <c r="T252" s="101"/>
      <c r="U252" s="101"/>
      <c r="V252" s="101"/>
      <c r="W252" s="101"/>
      <c r="X252" s="101"/>
      <c r="Y252" s="100"/>
      <c r="Z252" s="101"/>
      <c r="AA252" s="101"/>
      <c r="AB252" s="101"/>
      <c r="AC252" s="100"/>
    </row>
    <row r="253" spans="1:29" x14ac:dyDescent="0.3">
      <c r="A253" s="179">
        <v>20</v>
      </c>
      <c r="B253" s="101"/>
      <c r="C253" s="100"/>
      <c r="D253" s="100"/>
      <c r="E253" s="100"/>
      <c r="F253" s="100"/>
      <c r="G253" s="100"/>
      <c r="H253" s="100"/>
      <c r="I253" s="101"/>
      <c r="J253" s="101"/>
      <c r="K253" s="100"/>
      <c r="L253" s="101"/>
      <c r="M253" s="101"/>
      <c r="N253" s="101"/>
      <c r="P253" s="179">
        <v>20</v>
      </c>
      <c r="Q253" s="101"/>
      <c r="R253" s="101"/>
      <c r="S253" s="101"/>
      <c r="T253" s="101"/>
      <c r="U253" s="101"/>
      <c r="V253" s="101"/>
      <c r="W253" s="101"/>
      <c r="X253" s="101"/>
      <c r="Y253" s="100"/>
      <c r="Z253" s="101"/>
      <c r="AA253" s="101"/>
      <c r="AB253" s="101"/>
      <c r="AC253" s="100"/>
    </row>
    <row r="254" spans="1:29" x14ac:dyDescent="0.3">
      <c r="A254" s="179">
        <v>24</v>
      </c>
      <c r="B254" s="101"/>
      <c r="C254" s="100"/>
      <c r="D254" s="100"/>
      <c r="E254" s="100"/>
      <c r="F254" s="100"/>
      <c r="G254" s="100"/>
      <c r="H254" s="100"/>
      <c r="I254" s="101"/>
      <c r="J254" s="101"/>
      <c r="K254" s="100"/>
      <c r="L254" s="101"/>
      <c r="M254" s="101"/>
      <c r="N254" s="101"/>
      <c r="P254" s="179">
        <v>24</v>
      </c>
      <c r="Q254" s="101"/>
      <c r="R254" s="101"/>
      <c r="S254" s="101"/>
      <c r="T254" s="101"/>
      <c r="U254" s="101"/>
      <c r="V254" s="101"/>
      <c r="W254" s="101"/>
      <c r="X254" s="101"/>
      <c r="Y254" s="100"/>
      <c r="Z254" s="101"/>
      <c r="AA254" s="101"/>
      <c r="AB254" s="101"/>
      <c r="AC254" s="100"/>
    </row>
    <row r="255" spans="1:29" x14ac:dyDescent="0.3">
      <c r="A255" s="179">
        <v>26</v>
      </c>
      <c r="B255" s="101"/>
      <c r="C255" s="100"/>
      <c r="D255" s="100"/>
      <c r="E255" s="100"/>
      <c r="F255" s="100"/>
      <c r="G255" s="100"/>
      <c r="H255" s="100"/>
      <c r="I255" s="101"/>
      <c r="J255" s="101"/>
      <c r="K255" s="100"/>
      <c r="L255" s="101"/>
      <c r="M255" s="101"/>
      <c r="N255" s="101"/>
      <c r="P255" s="179">
        <v>26</v>
      </c>
      <c r="Q255" s="101"/>
      <c r="R255" s="101"/>
      <c r="S255" s="101"/>
      <c r="T255" s="101"/>
      <c r="U255" s="101"/>
      <c r="V255" s="100"/>
      <c r="W255" s="101"/>
      <c r="X255" s="101"/>
      <c r="Y255" s="100"/>
      <c r="Z255" s="100"/>
      <c r="AA255" s="100"/>
      <c r="AB255" s="100"/>
      <c r="AC255" s="100"/>
    </row>
    <row r="256" spans="1:29" x14ac:dyDescent="0.3">
      <c r="A256" s="179">
        <v>28</v>
      </c>
      <c r="B256" s="101"/>
      <c r="C256" s="100"/>
      <c r="D256" s="100"/>
      <c r="E256" s="100"/>
      <c r="F256" s="100"/>
      <c r="G256" s="100"/>
      <c r="H256" s="100"/>
      <c r="I256" s="101"/>
      <c r="J256" s="101"/>
      <c r="K256" s="100"/>
      <c r="L256" s="101"/>
      <c r="M256" s="101"/>
      <c r="N256" s="101"/>
      <c r="P256" s="179">
        <v>28</v>
      </c>
      <c r="Q256" s="101"/>
      <c r="R256" s="101"/>
      <c r="S256" s="101"/>
      <c r="T256" s="101"/>
      <c r="U256" s="101"/>
      <c r="V256" s="100"/>
      <c r="W256" s="101"/>
      <c r="X256" s="101"/>
      <c r="Y256" s="100"/>
      <c r="Z256" s="100"/>
      <c r="AA256" s="100"/>
      <c r="AB256" s="100"/>
      <c r="AC256" s="100"/>
    </row>
    <row r="257" spans="1:29" x14ac:dyDescent="0.3">
      <c r="A257" s="179">
        <v>30</v>
      </c>
      <c r="B257" s="101"/>
      <c r="C257" s="100"/>
      <c r="D257" s="100"/>
      <c r="E257" s="100"/>
      <c r="F257" s="100"/>
      <c r="G257" s="100"/>
      <c r="H257" s="100"/>
      <c r="I257" s="101"/>
      <c r="J257" s="101"/>
      <c r="K257" s="100"/>
      <c r="L257" s="101"/>
      <c r="M257" s="101"/>
      <c r="N257" s="101"/>
      <c r="P257" s="179">
        <v>30</v>
      </c>
      <c r="Q257" s="101"/>
      <c r="R257" s="101"/>
      <c r="S257" s="101"/>
      <c r="T257" s="101"/>
      <c r="U257" s="101"/>
      <c r="V257" s="100"/>
      <c r="W257" s="101"/>
      <c r="X257" s="101"/>
      <c r="Y257" s="100"/>
      <c r="Z257" s="100"/>
      <c r="AA257" s="100"/>
      <c r="AB257" s="100"/>
      <c r="AC257" s="100"/>
    </row>
    <row r="258" spans="1:29" x14ac:dyDescent="0.3">
      <c r="A258" s="179">
        <v>32</v>
      </c>
      <c r="B258" s="101"/>
      <c r="C258" s="100"/>
      <c r="D258" s="100"/>
      <c r="E258" s="100"/>
      <c r="F258" s="100"/>
      <c r="G258" s="100"/>
      <c r="H258" s="100"/>
      <c r="I258" s="101"/>
      <c r="J258" s="101"/>
      <c r="K258" s="100"/>
      <c r="L258" s="101"/>
      <c r="M258" s="101"/>
      <c r="N258" s="101"/>
      <c r="P258" s="179">
        <v>32</v>
      </c>
      <c r="Q258" s="101"/>
      <c r="R258" s="101"/>
      <c r="S258" s="101"/>
      <c r="T258" s="101"/>
      <c r="U258" s="101"/>
      <c r="V258" s="100"/>
      <c r="W258" s="101"/>
      <c r="X258" s="101"/>
      <c r="Y258" s="100"/>
      <c r="Z258" s="100"/>
      <c r="AA258" s="100"/>
      <c r="AB258" s="100"/>
      <c r="AC258" s="100"/>
    </row>
    <row r="259" spans="1:29" x14ac:dyDescent="0.3">
      <c r="A259" s="179">
        <v>36</v>
      </c>
      <c r="B259" s="101"/>
      <c r="C259" s="100"/>
      <c r="D259" s="100"/>
      <c r="E259" s="100"/>
      <c r="F259" s="100"/>
      <c r="G259" s="100"/>
      <c r="H259" s="100"/>
      <c r="I259" s="101"/>
      <c r="J259" s="101"/>
      <c r="K259" s="100"/>
      <c r="L259" s="101"/>
      <c r="M259" s="101"/>
      <c r="N259" s="101"/>
      <c r="P259" s="179">
        <v>36</v>
      </c>
      <c r="Q259" s="100"/>
      <c r="R259" s="101"/>
      <c r="S259" s="101"/>
      <c r="T259" s="101"/>
      <c r="U259" s="101"/>
      <c r="V259" s="100"/>
      <c r="W259" s="101"/>
      <c r="X259" s="101"/>
      <c r="Y259" s="100"/>
      <c r="Z259" s="100"/>
      <c r="AA259" s="100"/>
      <c r="AB259" s="100"/>
      <c r="AC259" s="100"/>
    </row>
    <row r="260" spans="1:29" x14ac:dyDescent="0.3">
      <c r="A260" s="179">
        <v>42</v>
      </c>
      <c r="B260" s="101"/>
      <c r="C260" s="100"/>
      <c r="D260" s="100"/>
      <c r="E260" s="100"/>
      <c r="F260" s="100"/>
      <c r="G260" s="100"/>
      <c r="H260" s="100"/>
      <c r="I260" s="101"/>
      <c r="J260" s="101"/>
      <c r="K260" s="100"/>
      <c r="L260" s="101"/>
      <c r="M260" s="101"/>
      <c r="N260" s="101"/>
      <c r="P260" s="179">
        <v>42</v>
      </c>
      <c r="Q260" s="100"/>
      <c r="R260" s="100"/>
      <c r="S260" s="100"/>
      <c r="T260" s="101"/>
      <c r="U260" s="100"/>
      <c r="V260" s="100"/>
      <c r="W260" s="100"/>
      <c r="X260" s="100"/>
      <c r="Y260" s="100"/>
      <c r="Z260" s="100"/>
      <c r="AA260" s="100"/>
      <c r="AB260" s="100"/>
      <c r="AC260" s="100"/>
    </row>
    <row r="261" spans="1:29" x14ac:dyDescent="0.3">
      <c r="A261" s="179">
        <v>48</v>
      </c>
      <c r="B261" s="101"/>
      <c r="C261" s="100"/>
      <c r="D261" s="100"/>
      <c r="E261" s="100"/>
      <c r="F261" s="100"/>
      <c r="G261" s="100"/>
      <c r="H261" s="100"/>
      <c r="I261" s="101"/>
      <c r="J261" s="101"/>
      <c r="K261" s="100"/>
      <c r="L261" s="101"/>
      <c r="M261" s="101"/>
      <c r="N261" s="101"/>
      <c r="P261" s="179">
        <v>48</v>
      </c>
      <c r="Q261" s="100"/>
      <c r="R261" s="100"/>
      <c r="S261" s="100"/>
      <c r="T261" s="101"/>
      <c r="U261" s="100"/>
      <c r="V261" s="100"/>
      <c r="W261" s="100"/>
      <c r="X261" s="100"/>
      <c r="Y261" s="100"/>
      <c r="Z261" s="100"/>
      <c r="AA261" s="100"/>
      <c r="AB261" s="100"/>
      <c r="AC261" s="100"/>
    </row>
    <row r="262" spans="1:29" x14ac:dyDescent="0.3">
      <c r="A262" s="83"/>
      <c r="B262" s="84"/>
      <c r="C262" s="84"/>
      <c r="D262" s="84"/>
      <c r="E262" s="84"/>
      <c r="F262" s="84"/>
      <c r="G262" s="84"/>
      <c r="H262" s="84"/>
      <c r="I262" s="84"/>
      <c r="J262" s="84"/>
      <c r="K262" s="84"/>
      <c r="L262" s="84"/>
      <c r="M262" s="84"/>
      <c r="N262" s="84"/>
      <c r="P262" s="83"/>
      <c r="Q262" s="84"/>
      <c r="R262" s="84"/>
      <c r="S262" s="84"/>
      <c r="T262" s="84"/>
      <c r="U262" s="84"/>
      <c r="V262" s="84"/>
      <c r="W262" s="84"/>
      <c r="X262" s="84"/>
      <c r="Y262" s="84"/>
      <c r="Z262" s="84"/>
      <c r="AA262" s="84"/>
      <c r="AB262" s="84"/>
      <c r="AC262" s="84"/>
    </row>
    <row r="263" spans="1:29" x14ac:dyDescent="0.3">
      <c r="A263" s="85" t="s">
        <v>760</v>
      </c>
      <c r="B263" s="100" t="s">
        <v>704</v>
      </c>
      <c r="C263" s="100" t="s">
        <v>705</v>
      </c>
      <c r="D263" s="100" t="s">
        <v>706</v>
      </c>
      <c r="E263" s="100" t="s">
        <v>707</v>
      </c>
      <c r="F263" s="100" t="s">
        <v>708</v>
      </c>
      <c r="G263" s="100" t="s">
        <v>709</v>
      </c>
      <c r="H263" s="100" t="s">
        <v>710</v>
      </c>
      <c r="I263" s="100" t="s">
        <v>711</v>
      </c>
      <c r="J263" s="100" t="s">
        <v>712</v>
      </c>
      <c r="K263" s="100" t="s">
        <v>713</v>
      </c>
      <c r="L263" s="100" t="s">
        <v>714</v>
      </c>
      <c r="M263" s="100" t="s">
        <v>715</v>
      </c>
      <c r="N263" s="100" t="s">
        <v>716</v>
      </c>
      <c r="P263" s="86" t="s">
        <v>761</v>
      </c>
      <c r="Q263" s="183" t="s">
        <v>704</v>
      </c>
      <c r="R263" s="183" t="s">
        <v>705</v>
      </c>
      <c r="S263" s="183" t="s">
        <v>706</v>
      </c>
      <c r="T263" s="183" t="s">
        <v>707</v>
      </c>
      <c r="U263" s="183" t="s">
        <v>708</v>
      </c>
      <c r="V263" s="183" t="s">
        <v>709</v>
      </c>
      <c r="W263" s="183" t="s">
        <v>710</v>
      </c>
      <c r="X263" s="183" t="s">
        <v>711</v>
      </c>
      <c r="Y263" s="183" t="s">
        <v>712</v>
      </c>
      <c r="Z263" s="183" t="s">
        <v>713</v>
      </c>
      <c r="AA263" s="183" t="s">
        <v>714</v>
      </c>
      <c r="AB263" s="183" t="s">
        <v>715</v>
      </c>
      <c r="AC263" s="183" t="s">
        <v>716</v>
      </c>
    </row>
    <row r="264" spans="1:29" x14ac:dyDescent="0.3">
      <c r="A264" s="179" t="s">
        <v>718</v>
      </c>
      <c r="B264" s="101">
        <v>0.11</v>
      </c>
      <c r="C264" s="100"/>
      <c r="D264" s="100"/>
      <c r="E264" s="100">
        <v>0.11</v>
      </c>
      <c r="F264" s="100">
        <v>0.11</v>
      </c>
      <c r="G264" s="100"/>
      <c r="H264" s="100">
        <v>0.11</v>
      </c>
      <c r="I264" s="101">
        <v>0.11</v>
      </c>
      <c r="J264" s="101"/>
      <c r="K264" s="100"/>
      <c r="L264" s="101"/>
      <c r="M264" s="101">
        <v>0.11</v>
      </c>
      <c r="N264" s="101">
        <v>0.11</v>
      </c>
      <c r="P264" s="179" t="s">
        <v>718</v>
      </c>
      <c r="Q264" s="183">
        <v>0.12</v>
      </c>
      <c r="R264" s="100"/>
      <c r="S264" s="100"/>
      <c r="T264" s="183">
        <v>0.12</v>
      </c>
      <c r="U264" s="183">
        <v>0.12</v>
      </c>
      <c r="V264" s="100"/>
      <c r="W264" s="183">
        <v>0.12</v>
      </c>
      <c r="X264" s="101">
        <v>0.12</v>
      </c>
      <c r="Y264" s="100"/>
      <c r="Z264" s="100"/>
      <c r="AA264" s="100"/>
      <c r="AB264" s="101">
        <v>0.12</v>
      </c>
      <c r="AC264" s="101">
        <v>0.12</v>
      </c>
    </row>
    <row r="265" spans="1:29" x14ac:dyDescent="0.3">
      <c r="A265" s="179" t="s">
        <v>719</v>
      </c>
      <c r="B265" s="101">
        <v>0.11</v>
      </c>
      <c r="C265" s="100"/>
      <c r="D265" s="100"/>
      <c r="E265" s="100">
        <v>0.11</v>
      </c>
      <c r="F265" s="100">
        <v>0.11</v>
      </c>
      <c r="G265" s="100"/>
      <c r="H265" s="100">
        <v>0.11</v>
      </c>
      <c r="I265" s="101">
        <v>0.11</v>
      </c>
      <c r="J265" s="101"/>
      <c r="K265" s="100"/>
      <c r="L265" s="101"/>
      <c r="M265" s="101">
        <v>0.11</v>
      </c>
      <c r="N265" s="101">
        <v>0.11</v>
      </c>
      <c r="P265" s="179" t="s">
        <v>719</v>
      </c>
      <c r="Q265" s="183">
        <v>0.12</v>
      </c>
      <c r="R265" s="100"/>
      <c r="S265" s="100"/>
      <c r="T265" s="183">
        <v>0.12</v>
      </c>
      <c r="U265" s="183">
        <v>0.12</v>
      </c>
      <c r="V265" s="100"/>
      <c r="W265" s="183">
        <v>0.12</v>
      </c>
      <c r="X265" s="101">
        <v>0.12</v>
      </c>
      <c r="Y265" s="100"/>
      <c r="Z265" s="100"/>
      <c r="AA265" s="100"/>
      <c r="AB265" s="101">
        <v>0.12</v>
      </c>
      <c r="AC265" s="101">
        <v>0.12</v>
      </c>
    </row>
    <row r="266" spans="1:29" x14ac:dyDescent="0.3">
      <c r="A266" s="179">
        <v>1</v>
      </c>
      <c r="B266" s="101">
        <v>0.11</v>
      </c>
      <c r="C266" s="100"/>
      <c r="D266" s="100"/>
      <c r="E266" s="100">
        <v>0.11</v>
      </c>
      <c r="F266" s="100">
        <v>0.11</v>
      </c>
      <c r="G266" s="100"/>
      <c r="H266" s="100">
        <v>0.11</v>
      </c>
      <c r="I266" s="101">
        <v>0.11</v>
      </c>
      <c r="J266" s="101"/>
      <c r="K266" s="100"/>
      <c r="L266" s="101"/>
      <c r="M266" s="101">
        <v>0.11</v>
      </c>
      <c r="N266" s="101">
        <v>0.11</v>
      </c>
      <c r="P266" s="179">
        <v>1</v>
      </c>
      <c r="Q266" s="183">
        <v>0.12</v>
      </c>
      <c r="R266" s="100"/>
      <c r="S266" s="100"/>
      <c r="T266" s="183">
        <v>0.12</v>
      </c>
      <c r="U266" s="183">
        <v>0.12</v>
      </c>
      <c r="V266" s="100"/>
      <c r="W266" s="183">
        <v>0.12</v>
      </c>
      <c r="X266" s="101">
        <v>0.12</v>
      </c>
      <c r="Y266" s="100"/>
      <c r="Z266" s="100"/>
      <c r="AA266" s="100"/>
      <c r="AB266" s="101">
        <v>0.12</v>
      </c>
      <c r="AC266" s="101">
        <v>0.12</v>
      </c>
    </row>
    <row r="267" spans="1:29" x14ac:dyDescent="0.3">
      <c r="A267" s="179" t="s">
        <v>720</v>
      </c>
      <c r="B267" s="101">
        <v>0.14000000000000001</v>
      </c>
      <c r="C267" s="100"/>
      <c r="D267" s="100"/>
      <c r="E267" s="100">
        <v>0.14000000000000001</v>
      </c>
      <c r="F267" s="100">
        <v>0.14000000000000001</v>
      </c>
      <c r="G267" s="100"/>
      <c r="H267" s="100">
        <v>0.14000000000000001</v>
      </c>
      <c r="I267" s="101">
        <v>0.14000000000000001</v>
      </c>
      <c r="J267" s="101"/>
      <c r="K267" s="100"/>
      <c r="L267" s="101"/>
      <c r="M267" s="101">
        <v>0.14000000000000001</v>
      </c>
      <c r="N267" s="101">
        <v>0.14000000000000001</v>
      </c>
      <c r="P267" s="179" t="s">
        <v>720</v>
      </c>
      <c r="Q267" s="183">
        <v>0.15</v>
      </c>
      <c r="R267" s="100"/>
      <c r="S267" s="100"/>
      <c r="T267" s="183">
        <v>0.15</v>
      </c>
      <c r="U267" s="183">
        <v>0.15</v>
      </c>
      <c r="V267" s="100"/>
      <c r="W267" s="183">
        <v>0.15</v>
      </c>
      <c r="X267" s="101">
        <v>0.15</v>
      </c>
      <c r="Y267" s="100"/>
      <c r="Z267" s="100"/>
      <c r="AA267" s="100"/>
      <c r="AB267" s="101">
        <v>0.15</v>
      </c>
      <c r="AC267" s="101">
        <v>0.15</v>
      </c>
    </row>
    <row r="268" spans="1:29" x14ac:dyDescent="0.3">
      <c r="A268" s="179">
        <v>2</v>
      </c>
      <c r="B268" s="101">
        <v>0.18</v>
      </c>
      <c r="C268" s="100"/>
      <c r="D268" s="100"/>
      <c r="E268" s="100">
        <v>0.18</v>
      </c>
      <c r="F268" s="100">
        <v>0.18</v>
      </c>
      <c r="G268" s="100"/>
      <c r="H268" s="100">
        <v>0.18</v>
      </c>
      <c r="I268" s="101">
        <v>0.18</v>
      </c>
      <c r="J268" s="101"/>
      <c r="K268" s="100"/>
      <c r="L268" s="101"/>
      <c r="M268" s="101">
        <v>0.18</v>
      </c>
      <c r="N268" s="101">
        <v>0.18</v>
      </c>
      <c r="P268" s="179">
        <v>2</v>
      </c>
      <c r="Q268" s="183">
        <v>0.19</v>
      </c>
      <c r="R268" s="100"/>
      <c r="S268" s="100"/>
      <c r="T268" s="183">
        <v>0.19</v>
      </c>
      <c r="U268" s="183">
        <v>0.19</v>
      </c>
      <c r="V268" s="100"/>
      <c r="W268" s="183">
        <v>0.19</v>
      </c>
      <c r="X268" s="101">
        <v>0.19</v>
      </c>
      <c r="Y268" s="100"/>
      <c r="Z268" s="100"/>
      <c r="AA268" s="100"/>
      <c r="AB268" s="101">
        <v>0.19</v>
      </c>
      <c r="AC268" s="101">
        <v>0.19</v>
      </c>
    </row>
    <row r="269" spans="1:29" x14ac:dyDescent="0.3">
      <c r="A269" s="179" t="s">
        <v>721</v>
      </c>
      <c r="B269" s="101">
        <v>0.22</v>
      </c>
      <c r="C269" s="100"/>
      <c r="D269" s="100"/>
      <c r="E269" s="100">
        <v>0.22</v>
      </c>
      <c r="F269" s="100">
        <v>0.22</v>
      </c>
      <c r="G269" s="100"/>
      <c r="H269" s="100">
        <v>0.22</v>
      </c>
      <c r="I269" s="101">
        <v>0.22</v>
      </c>
      <c r="J269" s="101"/>
      <c r="K269" s="100"/>
      <c r="L269" s="101"/>
      <c r="M269" s="101">
        <v>0.22</v>
      </c>
      <c r="N269" s="101">
        <v>0.22</v>
      </c>
      <c r="P269" s="179" t="s">
        <v>721</v>
      </c>
      <c r="Q269" s="183">
        <v>0.24</v>
      </c>
      <c r="R269" s="100"/>
      <c r="S269" s="100"/>
      <c r="T269" s="183">
        <v>0.24</v>
      </c>
      <c r="U269" s="183">
        <v>0.24</v>
      </c>
      <c r="V269" s="100"/>
      <c r="W269" s="183">
        <v>0.24</v>
      </c>
      <c r="X269" s="101">
        <v>0.24</v>
      </c>
      <c r="Y269" s="100"/>
      <c r="Z269" s="100"/>
      <c r="AA269" s="100"/>
      <c r="AB269" s="101">
        <v>0.24</v>
      </c>
      <c r="AC269" s="101">
        <v>0.24</v>
      </c>
    </row>
    <row r="270" spans="1:29" x14ac:dyDescent="0.3">
      <c r="A270" s="179">
        <v>3</v>
      </c>
      <c r="B270" s="101">
        <v>0.26</v>
      </c>
      <c r="C270" s="100"/>
      <c r="D270" s="100"/>
      <c r="E270" s="100">
        <v>0.26</v>
      </c>
      <c r="F270" s="100">
        <v>0.26</v>
      </c>
      <c r="G270" s="100"/>
      <c r="H270" s="100">
        <v>0.26</v>
      </c>
      <c r="I270" s="101">
        <v>0.26</v>
      </c>
      <c r="J270" s="101"/>
      <c r="K270" s="100"/>
      <c r="L270" s="101"/>
      <c r="M270" s="101">
        <v>0.26</v>
      </c>
      <c r="N270" s="101">
        <v>0.26</v>
      </c>
      <c r="P270" s="179">
        <v>3</v>
      </c>
      <c r="Q270" s="183">
        <v>0.28000000000000003</v>
      </c>
      <c r="R270" s="100"/>
      <c r="S270" s="100"/>
      <c r="T270" s="183">
        <v>0.28000000000000003</v>
      </c>
      <c r="U270" s="183">
        <v>0.28000000000000003</v>
      </c>
      <c r="V270" s="100"/>
      <c r="W270" s="183">
        <v>0.28000000000000003</v>
      </c>
      <c r="X270" s="101">
        <v>0.28000000000000003</v>
      </c>
      <c r="Y270" s="100"/>
      <c r="Z270" s="100"/>
      <c r="AA270" s="100"/>
      <c r="AB270" s="101">
        <v>0.28000000000000003</v>
      </c>
      <c r="AC270" s="101">
        <v>0.28000000000000003</v>
      </c>
    </row>
    <row r="271" spans="1:29" x14ac:dyDescent="0.3">
      <c r="A271" s="179">
        <v>4</v>
      </c>
      <c r="B271" s="101">
        <v>0.36</v>
      </c>
      <c r="C271" s="100"/>
      <c r="D271" s="100"/>
      <c r="E271" s="100">
        <v>0.36</v>
      </c>
      <c r="F271" s="100">
        <v>0.36</v>
      </c>
      <c r="G271" s="100"/>
      <c r="H271" s="100">
        <v>0.36</v>
      </c>
      <c r="I271" s="101">
        <v>0.36</v>
      </c>
      <c r="J271" s="101"/>
      <c r="K271" s="100">
        <v>0.36</v>
      </c>
      <c r="L271" s="101"/>
      <c r="M271" s="101">
        <v>0.36</v>
      </c>
      <c r="N271" s="101">
        <v>0.36</v>
      </c>
      <c r="P271" s="179">
        <v>4</v>
      </c>
      <c r="Q271" s="183">
        <v>0.38</v>
      </c>
      <c r="R271" s="100"/>
      <c r="S271" s="100"/>
      <c r="T271" s="183">
        <v>0.38</v>
      </c>
      <c r="U271" s="183">
        <v>0.38</v>
      </c>
      <c r="V271" s="100"/>
      <c r="W271" s="183">
        <v>0.38</v>
      </c>
      <c r="X271" s="101">
        <v>0.38</v>
      </c>
      <c r="Y271" s="100"/>
      <c r="Z271" s="101">
        <v>0.38</v>
      </c>
      <c r="AA271" s="100"/>
      <c r="AB271" s="101">
        <v>0.38</v>
      </c>
      <c r="AC271" s="101">
        <v>0.38</v>
      </c>
    </row>
    <row r="272" spans="1:29" x14ac:dyDescent="0.3">
      <c r="A272" s="179">
        <v>6</v>
      </c>
      <c r="B272" s="101"/>
      <c r="C272" s="100"/>
      <c r="D272" s="100"/>
      <c r="E272" s="100"/>
      <c r="F272" s="100"/>
      <c r="G272" s="100"/>
      <c r="H272" s="100"/>
      <c r="I272" s="101"/>
      <c r="J272" s="101"/>
      <c r="K272" s="100"/>
      <c r="L272" s="101"/>
      <c r="M272" s="101"/>
      <c r="N272" s="101"/>
      <c r="P272" s="179">
        <v>6</v>
      </c>
      <c r="Q272" s="101"/>
      <c r="R272" s="100"/>
      <c r="S272" s="100"/>
      <c r="T272" s="101"/>
      <c r="U272" s="101"/>
      <c r="V272" s="100"/>
      <c r="W272" s="101"/>
      <c r="X272" s="101"/>
      <c r="Y272" s="101"/>
      <c r="Z272" s="101"/>
      <c r="AA272" s="100"/>
      <c r="AB272" s="101"/>
      <c r="AC272" s="101"/>
    </row>
    <row r="273" spans="1:29" x14ac:dyDescent="0.3">
      <c r="A273" s="179">
        <v>8</v>
      </c>
      <c r="B273" s="101"/>
      <c r="C273" s="100"/>
      <c r="D273" s="100"/>
      <c r="E273" s="100"/>
      <c r="F273" s="100"/>
      <c r="G273" s="100"/>
      <c r="H273" s="100"/>
      <c r="I273" s="101"/>
      <c r="J273" s="101"/>
      <c r="K273" s="100"/>
      <c r="L273" s="101"/>
      <c r="M273" s="101"/>
      <c r="N273" s="101"/>
      <c r="P273" s="179">
        <v>8</v>
      </c>
      <c r="Q273" s="101"/>
      <c r="R273" s="101"/>
      <c r="S273" s="101"/>
      <c r="T273" s="101"/>
      <c r="U273" s="101"/>
      <c r="V273" s="101"/>
      <c r="W273" s="101"/>
      <c r="X273" s="101"/>
      <c r="Y273" s="100"/>
      <c r="Z273" s="101"/>
      <c r="AA273" s="101"/>
      <c r="AB273" s="101"/>
      <c r="AC273" s="101"/>
    </row>
    <row r="274" spans="1:29" x14ac:dyDescent="0.3">
      <c r="A274" s="179">
        <v>10</v>
      </c>
      <c r="B274" s="101"/>
      <c r="C274" s="100"/>
      <c r="D274" s="100"/>
      <c r="E274" s="100"/>
      <c r="F274" s="100"/>
      <c r="G274" s="100"/>
      <c r="H274" s="100"/>
      <c r="I274" s="101"/>
      <c r="J274" s="101"/>
      <c r="K274" s="100"/>
      <c r="L274" s="101"/>
      <c r="M274" s="101"/>
      <c r="N274" s="101"/>
      <c r="P274" s="179">
        <v>10</v>
      </c>
      <c r="Q274" s="101"/>
      <c r="R274" s="101"/>
      <c r="S274" s="101"/>
      <c r="T274" s="101"/>
      <c r="U274" s="101"/>
      <c r="V274" s="101"/>
      <c r="W274" s="101"/>
      <c r="X274" s="101"/>
      <c r="Y274" s="100"/>
      <c r="Z274" s="101"/>
      <c r="AA274" s="101"/>
      <c r="AB274" s="101"/>
      <c r="AC274" s="101"/>
    </row>
    <row r="275" spans="1:29" x14ac:dyDescent="0.3">
      <c r="A275" s="179">
        <v>12</v>
      </c>
      <c r="B275" s="101"/>
      <c r="C275" s="100"/>
      <c r="D275" s="100"/>
      <c r="E275" s="100"/>
      <c r="F275" s="100"/>
      <c r="G275" s="100"/>
      <c r="H275" s="100"/>
      <c r="I275" s="101"/>
      <c r="J275" s="101"/>
      <c r="K275" s="100"/>
      <c r="L275" s="101"/>
      <c r="M275" s="101"/>
      <c r="N275" s="101"/>
      <c r="P275" s="179">
        <v>12</v>
      </c>
      <c r="Q275" s="101"/>
      <c r="R275" s="101"/>
      <c r="S275" s="101"/>
      <c r="T275" s="101"/>
      <c r="U275" s="101"/>
      <c r="V275" s="101"/>
      <c r="W275" s="101"/>
      <c r="X275" s="101"/>
      <c r="Y275" s="100"/>
      <c r="Z275" s="101"/>
      <c r="AA275" s="101"/>
      <c r="AB275" s="101"/>
      <c r="AC275" s="101"/>
    </row>
    <row r="276" spans="1:29" x14ac:dyDescent="0.3">
      <c r="A276" s="179">
        <v>14</v>
      </c>
      <c r="B276" s="101"/>
      <c r="C276" s="100"/>
      <c r="D276" s="100"/>
      <c r="E276" s="100"/>
      <c r="F276" s="100"/>
      <c r="G276" s="100"/>
      <c r="H276" s="100"/>
      <c r="I276" s="101"/>
      <c r="J276" s="101"/>
      <c r="K276" s="100"/>
      <c r="L276" s="101"/>
      <c r="M276" s="101"/>
      <c r="N276" s="101"/>
      <c r="P276" s="179">
        <v>14</v>
      </c>
      <c r="Q276" s="101"/>
      <c r="R276" s="101"/>
      <c r="S276" s="101"/>
      <c r="T276" s="101"/>
      <c r="U276" s="101"/>
      <c r="V276" s="101"/>
      <c r="W276" s="101"/>
      <c r="X276" s="101"/>
      <c r="Y276" s="100"/>
      <c r="Z276" s="101"/>
      <c r="AA276" s="101"/>
      <c r="AB276" s="101"/>
      <c r="AC276" s="100"/>
    </row>
    <row r="277" spans="1:29" x14ac:dyDescent="0.3">
      <c r="A277" s="179">
        <v>16</v>
      </c>
      <c r="B277" s="101"/>
      <c r="C277" s="100"/>
      <c r="D277" s="100"/>
      <c r="E277" s="100"/>
      <c r="F277" s="100"/>
      <c r="G277" s="100"/>
      <c r="H277" s="100"/>
      <c r="I277" s="101"/>
      <c r="J277" s="101"/>
      <c r="K277" s="100"/>
      <c r="L277" s="101"/>
      <c r="M277" s="101"/>
      <c r="N277" s="101"/>
      <c r="P277" s="179">
        <v>16</v>
      </c>
      <c r="Q277" s="101"/>
      <c r="R277" s="101"/>
      <c r="S277" s="101"/>
      <c r="T277" s="101"/>
      <c r="U277" s="101"/>
      <c r="V277" s="101"/>
      <c r="W277" s="101"/>
      <c r="X277" s="101"/>
      <c r="Y277" s="100"/>
      <c r="Z277" s="101"/>
      <c r="AA277" s="101"/>
      <c r="AB277" s="101"/>
      <c r="AC277" s="100"/>
    </row>
    <row r="278" spans="1:29" x14ac:dyDescent="0.3">
      <c r="A278" s="179">
        <v>18</v>
      </c>
      <c r="B278" s="101"/>
      <c r="C278" s="100"/>
      <c r="D278" s="100"/>
      <c r="E278" s="100"/>
      <c r="F278" s="100"/>
      <c r="G278" s="100"/>
      <c r="H278" s="100"/>
      <c r="I278" s="101"/>
      <c r="J278" s="101"/>
      <c r="K278" s="100"/>
      <c r="L278" s="101"/>
      <c r="M278" s="101"/>
      <c r="N278" s="101"/>
      <c r="P278" s="179">
        <v>18</v>
      </c>
      <c r="Q278" s="101"/>
      <c r="R278" s="101"/>
      <c r="S278" s="101"/>
      <c r="T278" s="101"/>
      <c r="U278" s="101"/>
      <c r="V278" s="101"/>
      <c r="W278" s="101"/>
      <c r="X278" s="101"/>
      <c r="Y278" s="100"/>
      <c r="Z278" s="101"/>
      <c r="AA278" s="101"/>
      <c r="AB278" s="101"/>
      <c r="AC278" s="100"/>
    </row>
    <row r="279" spans="1:29" x14ac:dyDescent="0.3">
      <c r="A279" s="179">
        <v>20</v>
      </c>
      <c r="B279" s="101"/>
      <c r="C279" s="100"/>
      <c r="D279" s="100"/>
      <c r="E279" s="100"/>
      <c r="F279" s="100"/>
      <c r="G279" s="100"/>
      <c r="H279" s="100"/>
      <c r="I279" s="101"/>
      <c r="J279" s="101"/>
      <c r="K279" s="100"/>
      <c r="L279" s="101"/>
      <c r="M279" s="101"/>
      <c r="N279" s="101"/>
      <c r="P279" s="179">
        <v>20</v>
      </c>
      <c r="Q279" s="101"/>
      <c r="R279" s="101"/>
      <c r="S279" s="101"/>
      <c r="T279" s="101"/>
      <c r="U279" s="101"/>
      <c r="V279" s="101"/>
      <c r="W279" s="101"/>
      <c r="X279" s="101"/>
      <c r="Y279" s="100"/>
      <c r="Z279" s="101"/>
      <c r="AA279" s="101"/>
      <c r="AB279" s="101"/>
      <c r="AC279" s="100"/>
    </row>
    <row r="280" spans="1:29" x14ac:dyDescent="0.3">
      <c r="A280" s="179">
        <v>24</v>
      </c>
      <c r="B280" s="101"/>
      <c r="C280" s="100"/>
      <c r="D280" s="100"/>
      <c r="E280" s="100"/>
      <c r="F280" s="100"/>
      <c r="G280" s="100"/>
      <c r="H280" s="100"/>
      <c r="I280" s="101"/>
      <c r="J280" s="101"/>
      <c r="K280" s="100"/>
      <c r="L280" s="101"/>
      <c r="M280" s="101"/>
      <c r="N280" s="101"/>
      <c r="P280" s="179">
        <v>24</v>
      </c>
      <c r="Q280" s="101"/>
      <c r="R280" s="101"/>
      <c r="S280" s="101"/>
      <c r="T280" s="101"/>
      <c r="U280" s="101"/>
      <c r="V280" s="101"/>
      <c r="W280" s="101"/>
      <c r="X280" s="101"/>
      <c r="Y280" s="100"/>
      <c r="Z280" s="101"/>
      <c r="AA280" s="101"/>
      <c r="AB280" s="101"/>
      <c r="AC280" s="100"/>
    </row>
    <row r="281" spans="1:29" x14ac:dyDescent="0.3">
      <c r="A281" s="179">
        <v>26</v>
      </c>
      <c r="B281" s="101"/>
      <c r="C281" s="100"/>
      <c r="D281" s="100"/>
      <c r="E281" s="100"/>
      <c r="F281" s="100"/>
      <c r="G281" s="100"/>
      <c r="H281" s="100"/>
      <c r="I281" s="101"/>
      <c r="J281" s="101"/>
      <c r="K281" s="100"/>
      <c r="L281" s="101"/>
      <c r="M281" s="101"/>
      <c r="N281" s="101"/>
      <c r="P281" s="179">
        <v>26</v>
      </c>
      <c r="Q281" s="101"/>
      <c r="R281" s="101"/>
      <c r="S281" s="101"/>
      <c r="T281" s="101"/>
      <c r="U281" s="101"/>
      <c r="V281" s="100"/>
      <c r="W281" s="101"/>
      <c r="X281" s="101"/>
      <c r="Y281" s="100"/>
      <c r="Z281" s="100"/>
      <c r="AA281" s="100"/>
      <c r="AB281" s="100"/>
      <c r="AC281" s="100"/>
    </row>
    <row r="282" spans="1:29" x14ac:dyDescent="0.3">
      <c r="A282" s="179">
        <v>28</v>
      </c>
      <c r="B282" s="101"/>
      <c r="C282" s="100"/>
      <c r="D282" s="100"/>
      <c r="E282" s="100"/>
      <c r="F282" s="100"/>
      <c r="G282" s="100"/>
      <c r="H282" s="100"/>
      <c r="I282" s="101"/>
      <c r="J282" s="101"/>
      <c r="K282" s="100"/>
      <c r="L282" s="101"/>
      <c r="M282" s="101"/>
      <c r="N282" s="101"/>
      <c r="P282" s="179">
        <v>28</v>
      </c>
      <c r="Q282" s="101"/>
      <c r="R282" s="101"/>
      <c r="S282" s="101"/>
      <c r="T282" s="101"/>
      <c r="U282" s="101"/>
      <c r="V282" s="100"/>
      <c r="W282" s="101"/>
      <c r="X282" s="101"/>
      <c r="Y282" s="100"/>
      <c r="Z282" s="100"/>
      <c r="AA282" s="100"/>
      <c r="AB282" s="100"/>
      <c r="AC282" s="100"/>
    </row>
    <row r="283" spans="1:29" x14ac:dyDescent="0.3">
      <c r="A283" s="179">
        <v>30</v>
      </c>
      <c r="B283" s="101"/>
      <c r="C283" s="100"/>
      <c r="D283" s="100"/>
      <c r="E283" s="100"/>
      <c r="F283" s="100"/>
      <c r="G283" s="100"/>
      <c r="H283" s="100"/>
      <c r="I283" s="101"/>
      <c r="J283" s="101"/>
      <c r="K283" s="100"/>
      <c r="L283" s="101"/>
      <c r="M283" s="101"/>
      <c r="N283" s="101"/>
      <c r="P283" s="179">
        <v>30</v>
      </c>
      <c r="Q283" s="101"/>
      <c r="R283" s="101"/>
      <c r="S283" s="101"/>
      <c r="T283" s="101"/>
      <c r="U283" s="101"/>
      <c r="V283" s="100"/>
      <c r="W283" s="101"/>
      <c r="X283" s="101"/>
      <c r="Y283" s="100"/>
      <c r="Z283" s="100"/>
      <c r="AA283" s="100"/>
      <c r="AB283" s="100"/>
      <c r="AC283" s="100"/>
    </row>
    <row r="284" spans="1:29" x14ac:dyDescent="0.3">
      <c r="A284" s="179">
        <v>32</v>
      </c>
      <c r="B284" s="101"/>
      <c r="C284" s="100"/>
      <c r="D284" s="100"/>
      <c r="E284" s="100"/>
      <c r="F284" s="100"/>
      <c r="G284" s="100"/>
      <c r="H284" s="100"/>
      <c r="I284" s="101"/>
      <c r="J284" s="101"/>
      <c r="K284" s="100"/>
      <c r="L284" s="101"/>
      <c r="M284" s="101"/>
      <c r="N284" s="101"/>
      <c r="P284" s="179">
        <v>32</v>
      </c>
      <c r="Q284" s="101"/>
      <c r="R284" s="101"/>
      <c r="S284" s="101"/>
      <c r="T284" s="101"/>
      <c r="U284" s="101"/>
      <c r="V284" s="100"/>
      <c r="W284" s="101"/>
      <c r="X284" s="101"/>
      <c r="Y284" s="100"/>
      <c r="Z284" s="100"/>
      <c r="AA284" s="100"/>
      <c r="AB284" s="100"/>
      <c r="AC284" s="100"/>
    </row>
    <row r="285" spans="1:29" x14ac:dyDescent="0.3">
      <c r="A285" s="179">
        <v>36</v>
      </c>
      <c r="B285" s="101"/>
      <c r="C285" s="100"/>
      <c r="D285" s="100"/>
      <c r="E285" s="100"/>
      <c r="F285" s="100"/>
      <c r="G285" s="100"/>
      <c r="H285" s="100"/>
      <c r="I285" s="101"/>
      <c r="J285" s="101"/>
      <c r="K285" s="100"/>
      <c r="L285" s="101"/>
      <c r="M285" s="101"/>
      <c r="N285" s="101"/>
      <c r="P285" s="179">
        <v>36</v>
      </c>
      <c r="Q285" s="100"/>
      <c r="R285" s="101"/>
      <c r="S285" s="101"/>
      <c r="T285" s="101"/>
      <c r="U285" s="101"/>
      <c r="V285" s="100"/>
      <c r="W285" s="101"/>
      <c r="X285" s="101"/>
      <c r="Y285" s="100"/>
      <c r="Z285" s="100"/>
      <c r="AA285" s="100"/>
      <c r="AB285" s="100"/>
      <c r="AC285" s="100"/>
    </row>
    <row r="286" spans="1:29" x14ac:dyDescent="0.3">
      <c r="A286" s="179">
        <v>42</v>
      </c>
      <c r="B286" s="101"/>
      <c r="C286" s="100"/>
      <c r="D286" s="100"/>
      <c r="E286" s="100"/>
      <c r="F286" s="100"/>
      <c r="G286" s="100"/>
      <c r="H286" s="100"/>
      <c r="I286" s="101"/>
      <c r="J286" s="101"/>
      <c r="K286" s="100"/>
      <c r="L286" s="101"/>
      <c r="M286" s="101"/>
      <c r="N286" s="101"/>
      <c r="P286" s="179">
        <v>42</v>
      </c>
      <c r="Q286" s="100"/>
      <c r="R286" s="100"/>
      <c r="S286" s="100"/>
      <c r="T286" s="101"/>
      <c r="U286" s="100"/>
      <c r="V286" s="100"/>
      <c r="W286" s="100"/>
      <c r="X286" s="100"/>
      <c r="Y286" s="100"/>
      <c r="Z286" s="100"/>
      <c r="AA286" s="100"/>
      <c r="AB286" s="100"/>
      <c r="AC286" s="100"/>
    </row>
    <row r="287" spans="1:29" x14ac:dyDescent="0.3">
      <c r="A287" s="179">
        <v>48</v>
      </c>
      <c r="B287" s="101"/>
      <c r="C287" s="100"/>
      <c r="D287" s="100"/>
      <c r="E287" s="100"/>
      <c r="F287" s="100"/>
      <c r="G287" s="100"/>
      <c r="H287" s="100"/>
      <c r="I287" s="101"/>
      <c r="J287" s="101"/>
      <c r="K287" s="100"/>
      <c r="L287" s="101"/>
      <c r="M287" s="101"/>
      <c r="N287" s="101"/>
      <c r="P287" s="179">
        <v>48</v>
      </c>
      <c r="Q287" s="100"/>
      <c r="R287" s="100"/>
      <c r="S287" s="100"/>
      <c r="T287" s="101"/>
      <c r="U287" s="100"/>
      <c r="V287" s="100"/>
      <c r="W287" s="100"/>
      <c r="X287" s="100"/>
      <c r="Y287" s="100"/>
      <c r="Z287" s="100"/>
      <c r="AA287" s="100"/>
      <c r="AB287" s="100"/>
      <c r="AC287" s="100"/>
    </row>
    <row r="288" spans="1:29" x14ac:dyDescent="0.3">
      <c r="A288" s="83"/>
      <c r="B288" s="84"/>
      <c r="C288" s="84"/>
      <c r="D288" s="84"/>
      <c r="E288" s="84"/>
      <c r="F288" s="84"/>
      <c r="G288" s="84"/>
      <c r="H288" s="84"/>
      <c r="I288" s="84"/>
      <c r="J288" s="84"/>
      <c r="K288" s="84"/>
      <c r="L288" s="84"/>
      <c r="M288" s="84"/>
      <c r="N288" s="84"/>
      <c r="P288" s="83"/>
      <c r="Q288" s="84"/>
      <c r="R288" s="84"/>
      <c r="S288" s="84"/>
      <c r="T288" s="84"/>
      <c r="U288" s="84"/>
      <c r="V288" s="84"/>
      <c r="W288" s="84"/>
      <c r="X288" s="84"/>
      <c r="Y288" s="84"/>
      <c r="Z288" s="84"/>
      <c r="AA288" s="84"/>
      <c r="AB288" s="84"/>
      <c r="AC288" s="84"/>
    </row>
    <row r="289" spans="1:29" x14ac:dyDescent="0.3">
      <c r="A289" s="85" t="s">
        <v>762</v>
      </c>
      <c r="B289" s="100" t="s">
        <v>704</v>
      </c>
      <c r="C289" s="100" t="s">
        <v>705</v>
      </c>
      <c r="D289" s="100" t="s">
        <v>706</v>
      </c>
      <c r="E289" s="100" t="s">
        <v>707</v>
      </c>
      <c r="F289" s="100" t="s">
        <v>708</v>
      </c>
      <c r="G289" s="100" t="s">
        <v>709</v>
      </c>
      <c r="H289" s="100" t="s">
        <v>710</v>
      </c>
      <c r="I289" s="100" t="s">
        <v>711</v>
      </c>
      <c r="J289" s="100" t="s">
        <v>712</v>
      </c>
      <c r="K289" s="100" t="s">
        <v>713</v>
      </c>
      <c r="L289" s="100" t="s">
        <v>714</v>
      </c>
      <c r="M289" s="100" t="s">
        <v>715</v>
      </c>
      <c r="N289" s="100" t="s">
        <v>716</v>
      </c>
      <c r="P289" s="86" t="s">
        <v>763</v>
      </c>
      <c r="Q289" s="183" t="s">
        <v>704</v>
      </c>
      <c r="R289" s="183" t="s">
        <v>705</v>
      </c>
      <c r="S289" s="183" t="s">
        <v>706</v>
      </c>
      <c r="T289" s="183" t="s">
        <v>707</v>
      </c>
      <c r="U289" s="183" t="s">
        <v>708</v>
      </c>
      <c r="V289" s="183" t="s">
        <v>709</v>
      </c>
      <c r="W289" s="183" t="s">
        <v>710</v>
      </c>
      <c r="X289" s="183" t="s">
        <v>711</v>
      </c>
      <c r="Y289" s="183" t="s">
        <v>712</v>
      </c>
      <c r="Z289" s="183" t="s">
        <v>713</v>
      </c>
      <c r="AA289" s="183" t="s">
        <v>714</v>
      </c>
      <c r="AB289" s="183" t="s">
        <v>715</v>
      </c>
      <c r="AC289" s="183" t="s">
        <v>716</v>
      </c>
    </row>
    <row r="290" spans="1:29" x14ac:dyDescent="0.3">
      <c r="A290" s="179" t="s">
        <v>718</v>
      </c>
      <c r="B290" s="101">
        <v>0.1</v>
      </c>
      <c r="C290" s="101">
        <v>0.1</v>
      </c>
      <c r="D290" s="101">
        <v>0.1</v>
      </c>
      <c r="E290" s="101">
        <v>0.1</v>
      </c>
      <c r="F290" s="101">
        <v>0.1</v>
      </c>
      <c r="G290" s="101">
        <v>0.1</v>
      </c>
      <c r="H290" s="101">
        <v>0.1</v>
      </c>
      <c r="I290" s="101">
        <v>0.1</v>
      </c>
      <c r="J290" s="101">
        <v>0.1</v>
      </c>
      <c r="K290" s="101">
        <v>0.1</v>
      </c>
      <c r="L290" s="101">
        <v>0.1</v>
      </c>
      <c r="M290" s="101">
        <v>0.1</v>
      </c>
      <c r="N290" s="101">
        <v>0.1</v>
      </c>
      <c r="P290" s="179" t="s">
        <v>718</v>
      </c>
      <c r="Q290" s="101">
        <v>0.1</v>
      </c>
      <c r="R290" s="101">
        <v>0.1</v>
      </c>
      <c r="S290" s="101">
        <v>0.1</v>
      </c>
      <c r="T290" s="101">
        <v>0.1</v>
      </c>
      <c r="U290" s="101">
        <v>0.1</v>
      </c>
      <c r="V290" s="101">
        <v>0.1</v>
      </c>
      <c r="W290" s="101">
        <v>0.1</v>
      </c>
      <c r="X290" s="101">
        <v>0.1</v>
      </c>
      <c r="Y290" s="101">
        <v>0.1</v>
      </c>
      <c r="Z290" s="101">
        <v>0.1</v>
      </c>
      <c r="AA290" s="101">
        <v>0.1</v>
      </c>
      <c r="AB290" s="101">
        <v>0.1</v>
      </c>
      <c r="AC290" s="101">
        <v>0.1</v>
      </c>
    </row>
    <row r="291" spans="1:29" x14ac:dyDescent="0.3">
      <c r="A291" s="179" t="s">
        <v>719</v>
      </c>
      <c r="B291" s="101">
        <v>0.1</v>
      </c>
      <c r="C291" s="101">
        <v>0.1</v>
      </c>
      <c r="D291" s="101">
        <v>0.1</v>
      </c>
      <c r="E291" s="101">
        <v>0.1</v>
      </c>
      <c r="F291" s="101">
        <v>0.1</v>
      </c>
      <c r="G291" s="101">
        <v>0.1</v>
      </c>
      <c r="H291" s="101">
        <v>0.1</v>
      </c>
      <c r="I291" s="101">
        <v>0.1</v>
      </c>
      <c r="J291" s="101">
        <v>0.1</v>
      </c>
      <c r="K291" s="101">
        <v>0.1</v>
      </c>
      <c r="L291" s="101">
        <v>0.1</v>
      </c>
      <c r="M291" s="101">
        <v>0.1</v>
      </c>
      <c r="N291" s="101">
        <v>0.1</v>
      </c>
      <c r="P291" s="179" t="s">
        <v>719</v>
      </c>
      <c r="Q291" s="101">
        <v>0.1</v>
      </c>
      <c r="R291" s="101">
        <v>0.1</v>
      </c>
      <c r="S291" s="101">
        <v>0.1</v>
      </c>
      <c r="T291" s="101">
        <v>0.1</v>
      </c>
      <c r="U291" s="101">
        <v>0.1</v>
      </c>
      <c r="V291" s="101">
        <v>0.1</v>
      </c>
      <c r="W291" s="101">
        <v>0.1</v>
      </c>
      <c r="X291" s="101">
        <v>0.1</v>
      </c>
      <c r="Y291" s="101">
        <v>0.1</v>
      </c>
      <c r="Z291" s="101">
        <v>0.1</v>
      </c>
      <c r="AA291" s="101">
        <v>0.1</v>
      </c>
      <c r="AB291" s="101">
        <v>0.1</v>
      </c>
      <c r="AC291" s="101">
        <v>0.1</v>
      </c>
    </row>
    <row r="292" spans="1:29" x14ac:dyDescent="0.3">
      <c r="A292" s="179">
        <v>1</v>
      </c>
      <c r="B292" s="101">
        <v>0.1</v>
      </c>
      <c r="C292" s="101">
        <v>0.1</v>
      </c>
      <c r="D292" s="101">
        <v>0.1</v>
      </c>
      <c r="E292" s="101">
        <v>0.1</v>
      </c>
      <c r="F292" s="101">
        <v>0.1</v>
      </c>
      <c r="G292" s="101">
        <v>0.1</v>
      </c>
      <c r="H292" s="101">
        <v>0.1</v>
      </c>
      <c r="I292" s="101">
        <v>0.1</v>
      </c>
      <c r="J292" s="101">
        <v>0.1</v>
      </c>
      <c r="K292" s="101">
        <v>0.1</v>
      </c>
      <c r="L292" s="101">
        <v>0.1</v>
      </c>
      <c r="M292" s="101">
        <v>0.1</v>
      </c>
      <c r="N292" s="101">
        <v>0.1</v>
      </c>
      <c r="P292" s="179">
        <v>1</v>
      </c>
      <c r="Q292" s="101">
        <v>0.1</v>
      </c>
      <c r="R292" s="101">
        <v>0.1</v>
      </c>
      <c r="S292" s="101">
        <v>0.1</v>
      </c>
      <c r="T292" s="101">
        <v>0.1</v>
      </c>
      <c r="U292" s="101">
        <v>0.1</v>
      </c>
      <c r="V292" s="101">
        <v>0.1</v>
      </c>
      <c r="W292" s="101">
        <v>0.1</v>
      </c>
      <c r="X292" s="101">
        <v>0.1</v>
      </c>
      <c r="Y292" s="101">
        <v>0.1</v>
      </c>
      <c r="Z292" s="101">
        <v>0.1</v>
      </c>
      <c r="AA292" s="101">
        <v>0.1</v>
      </c>
      <c r="AB292" s="101">
        <v>0.1</v>
      </c>
      <c r="AC292" s="101">
        <v>0.1</v>
      </c>
    </row>
    <row r="293" spans="1:29" x14ac:dyDescent="0.3">
      <c r="A293" s="179" t="s">
        <v>720</v>
      </c>
      <c r="B293" s="101">
        <v>0.12</v>
      </c>
      <c r="C293" s="101">
        <v>0.12</v>
      </c>
      <c r="D293" s="101">
        <v>0.12</v>
      </c>
      <c r="E293" s="101">
        <v>0.12</v>
      </c>
      <c r="F293" s="101">
        <v>0.12</v>
      </c>
      <c r="G293" s="101">
        <v>0.12</v>
      </c>
      <c r="H293" s="101">
        <v>0.12</v>
      </c>
      <c r="I293" s="101">
        <v>0.12</v>
      </c>
      <c r="J293" s="101">
        <v>0.12</v>
      </c>
      <c r="K293" s="101">
        <v>0.12</v>
      </c>
      <c r="L293" s="101">
        <v>0.12</v>
      </c>
      <c r="M293" s="101">
        <v>0.12</v>
      </c>
      <c r="N293" s="101">
        <v>0.12</v>
      </c>
      <c r="P293" s="179" t="s">
        <v>720</v>
      </c>
      <c r="Q293" s="101">
        <v>0.12</v>
      </c>
      <c r="R293" s="101">
        <v>0.12</v>
      </c>
      <c r="S293" s="101">
        <v>0.12</v>
      </c>
      <c r="T293" s="101">
        <v>0.12</v>
      </c>
      <c r="U293" s="101">
        <v>0.12</v>
      </c>
      <c r="V293" s="101">
        <v>0.12</v>
      </c>
      <c r="W293" s="101">
        <v>0.12</v>
      </c>
      <c r="X293" s="101">
        <v>0.12</v>
      </c>
      <c r="Y293" s="101">
        <v>0.12</v>
      </c>
      <c r="Z293" s="101">
        <v>0.12</v>
      </c>
      <c r="AA293" s="101">
        <v>0.12</v>
      </c>
      <c r="AB293" s="101">
        <v>0.12</v>
      </c>
      <c r="AC293" s="101">
        <v>0.12</v>
      </c>
    </row>
    <row r="294" spans="1:29" x14ac:dyDescent="0.3">
      <c r="A294" s="179">
        <v>2</v>
      </c>
      <c r="B294" s="101">
        <v>0.16</v>
      </c>
      <c r="C294" s="101">
        <v>0.16</v>
      </c>
      <c r="D294" s="101">
        <v>0.16</v>
      </c>
      <c r="E294" s="101">
        <v>0.16</v>
      </c>
      <c r="F294" s="101">
        <v>0.16</v>
      </c>
      <c r="G294" s="101">
        <v>0.16</v>
      </c>
      <c r="H294" s="101">
        <v>0.16</v>
      </c>
      <c r="I294" s="101">
        <v>0.16</v>
      </c>
      <c r="J294" s="101">
        <v>0.16</v>
      </c>
      <c r="K294" s="101">
        <v>0.16</v>
      </c>
      <c r="L294" s="101">
        <v>0.16</v>
      </c>
      <c r="M294" s="101">
        <v>0.16</v>
      </c>
      <c r="N294" s="101">
        <v>0.16</v>
      </c>
      <c r="P294" s="179">
        <v>2</v>
      </c>
      <c r="Q294" s="101">
        <v>0.16</v>
      </c>
      <c r="R294" s="101">
        <v>0.16</v>
      </c>
      <c r="S294" s="101">
        <v>0.16</v>
      </c>
      <c r="T294" s="101">
        <v>0.16</v>
      </c>
      <c r="U294" s="101">
        <v>0.16</v>
      </c>
      <c r="V294" s="101">
        <v>0.16</v>
      </c>
      <c r="W294" s="101">
        <v>0.16</v>
      </c>
      <c r="X294" s="101">
        <v>0.16</v>
      </c>
      <c r="Y294" s="101">
        <v>0.16</v>
      </c>
      <c r="Z294" s="101">
        <v>0.16</v>
      </c>
      <c r="AA294" s="101">
        <v>0.16</v>
      </c>
      <c r="AB294" s="101">
        <v>0.16</v>
      </c>
      <c r="AC294" s="101">
        <v>0.16</v>
      </c>
    </row>
    <row r="295" spans="1:29" x14ac:dyDescent="0.3">
      <c r="A295" s="179" t="s">
        <v>721</v>
      </c>
      <c r="B295" s="101">
        <v>0.19</v>
      </c>
      <c r="C295" s="101">
        <v>0.19</v>
      </c>
      <c r="D295" s="101">
        <v>0.19</v>
      </c>
      <c r="E295" s="101">
        <v>0.19</v>
      </c>
      <c r="F295" s="101">
        <v>0.19</v>
      </c>
      <c r="G295" s="101">
        <v>0.19</v>
      </c>
      <c r="H295" s="101">
        <v>0.19</v>
      </c>
      <c r="I295" s="101">
        <v>0.19</v>
      </c>
      <c r="J295" s="101">
        <v>0.19</v>
      </c>
      <c r="K295" s="101">
        <v>0.19</v>
      </c>
      <c r="L295" s="101">
        <v>0.19</v>
      </c>
      <c r="M295" s="101">
        <v>0.19</v>
      </c>
      <c r="N295" s="101">
        <v>0.19</v>
      </c>
      <c r="P295" s="179" t="s">
        <v>721</v>
      </c>
      <c r="Q295" s="101">
        <v>0.19</v>
      </c>
      <c r="R295" s="101">
        <v>0.19</v>
      </c>
      <c r="S295" s="101">
        <v>0.19</v>
      </c>
      <c r="T295" s="101">
        <v>0.19</v>
      </c>
      <c r="U295" s="101">
        <v>0.19</v>
      </c>
      <c r="V295" s="101">
        <v>0.19</v>
      </c>
      <c r="W295" s="101">
        <v>0.19</v>
      </c>
      <c r="X295" s="101">
        <v>0.19</v>
      </c>
      <c r="Y295" s="101">
        <v>0.19</v>
      </c>
      <c r="Z295" s="101">
        <v>0.19</v>
      </c>
      <c r="AA295" s="101">
        <v>0.19</v>
      </c>
      <c r="AB295" s="101">
        <v>0.19</v>
      </c>
      <c r="AC295" s="101">
        <v>0.19</v>
      </c>
    </row>
    <row r="296" spans="1:29" x14ac:dyDescent="0.3">
      <c r="A296" s="179">
        <v>3</v>
      </c>
      <c r="B296" s="101">
        <v>0.22</v>
      </c>
      <c r="C296" s="101">
        <v>0.22</v>
      </c>
      <c r="D296" s="101">
        <v>0.22</v>
      </c>
      <c r="E296" s="101">
        <v>0.22</v>
      </c>
      <c r="F296" s="101">
        <v>0.22</v>
      </c>
      <c r="G296" s="101">
        <v>0.22</v>
      </c>
      <c r="H296" s="101">
        <v>0.22</v>
      </c>
      <c r="I296" s="101">
        <v>0.22</v>
      </c>
      <c r="J296" s="101">
        <v>0.22</v>
      </c>
      <c r="K296" s="101">
        <v>0.22</v>
      </c>
      <c r="L296" s="101">
        <v>0.22</v>
      </c>
      <c r="M296" s="101">
        <v>0.22</v>
      </c>
      <c r="N296" s="101">
        <v>0.22</v>
      </c>
      <c r="P296" s="179">
        <v>3</v>
      </c>
      <c r="Q296" s="101">
        <v>0.22</v>
      </c>
      <c r="R296" s="101">
        <v>0.22</v>
      </c>
      <c r="S296" s="101">
        <v>0.22</v>
      </c>
      <c r="T296" s="101">
        <v>0.22</v>
      </c>
      <c r="U296" s="101">
        <v>0.22</v>
      </c>
      <c r="V296" s="101">
        <v>0.22</v>
      </c>
      <c r="W296" s="101">
        <v>0.22</v>
      </c>
      <c r="X296" s="101">
        <v>0.22</v>
      </c>
      <c r="Y296" s="101">
        <v>0.22</v>
      </c>
      <c r="Z296" s="101">
        <v>0.22</v>
      </c>
      <c r="AA296" s="101">
        <v>0.22</v>
      </c>
      <c r="AB296" s="101">
        <v>0.22</v>
      </c>
      <c r="AC296" s="101">
        <v>0.22</v>
      </c>
    </row>
    <row r="297" spans="1:29" x14ac:dyDescent="0.3">
      <c r="A297" s="179">
        <v>4</v>
      </c>
      <c r="B297" s="101">
        <v>0.31</v>
      </c>
      <c r="C297" s="101">
        <v>0.31</v>
      </c>
      <c r="D297" s="101">
        <v>0.31</v>
      </c>
      <c r="E297" s="101">
        <v>0.31</v>
      </c>
      <c r="F297" s="101">
        <v>0.31</v>
      </c>
      <c r="G297" s="101">
        <v>0.31</v>
      </c>
      <c r="H297" s="101">
        <v>0.31</v>
      </c>
      <c r="I297" s="101">
        <v>0.31</v>
      </c>
      <c r="J297" s="101">
        <v>0.31</v>
      </c>
      <c r="K297" s="101">
        <v>0.31</v>
      </c>
      <c r="L297" s="101">
        <v>0.31</v>
      </c>
      <c r="M297" s="101">
        <v>0.31</v>
      </c>
      <c r="N297" s="101">
        <v>0.31</v>
      </c>
      <c r="P297" s="179">
        <v>4</v>
      </c>
      <c r="Q297" s="101">
        <v>0.31</v>
      </c>
      <c r="R297" s="101">
        <v>0.31</v>
      </c>
      <c r="S297" s="101">
        <v>0.31</v>
      </c>
      <c r="T297" s="101">
        <v>0.31</v>
      </c>
      <c r="U297" s="101">
        <v>0.31</v>
      </c>
      <c r="V297" s="101">
        <v>0.31</v>
      </c>
      <c r="W297" s="101">
        <v>0.31</v>
      </c>
      <c r="X297" s="101">
        <v>0.31</v>
      </c>
      <c r="Y297" s="101">
        <v>0.31</v>
      </c>
      <c r="Z297" s="101">
        <v>0.31</v>
      </c>
      <c r="AA297" s="101">
        <v>0.31</v>
      </c>
      <c r="AB297" s="101">
        <v>0.31</v>
      </c>
      <c r="AC297" s="101">
        <v>0.31</v>
      </c>
    </row>
    <row r="298" spans="1:29" x14ac:dyDescent="0.3">
      <c r="A298" s="179">
        <v>6</v>
      </c>
      <c r="B298" s="101"/>
      <c r="C298" s="100"/>
      <c r="D298" s="100"/>
      <c r="E298" s="100"/>
      <c r="F298" s="100"/>
      <c r="G298" s="100"/>
      <c r="H298" s="100"/>
      <c r="I298" s="101"/>
      <c r="J298" s="101"/>
      <c r="K298" s="100"/>
      <c r="L298" s="101"/>
      <c r="M298" s="101"/>
      <c r="N298" s="101"/>
      <c r="P298" s="179">
        <v>6</v>
      </c>
      <c r="Q298" s="101"/>
      <c r="R298" s="100"/>
      <c r="S298" s="100"/>
      <c r="T298" s="101"/>
      <c r="U298" s="101"/>
      <c r="V298" s="100"/>
      <c r="W298" s="101"/>
      <c r="X298" s="101"/>
      <c r="Y298" s="101"/>
      <c r="Z298" s="101"/>
      <c r="AA298" s="100"/>
      <c r="AB298" s="101"/>
      <c r="AC298" s="101"/>
    </row>
    <row r="299" spans="1:29" x14ac:dyDescent="0.3">
      <c r="A299" s="179">
        <v>8</v>
      </c>
      <c r="B299" s="101"/>
      <c r="C299" s="100"/>
      <c r="D299" s="100"/>
      <c r="E299" s="100"/>
      <c r="F299" s="100"/>
      <c r="G299" s="100"/>
      <c r="H299" s="100"/>
      <c r="I299" s="101"/>
      <c r="J299" s="101"/>
      <c r="K299" s="100"/>
      <c r="L299" s="101"/>
      <c r="M299" s="101"/>
      <c r="N299" s="101"/>
      <c r="P299" s="179">
        <v>8</v>
      </c>
      <c r="Q299" s="101"/>
      <c r="R299" s="101"/>
      <c r="S299" s="101"/>
      <c r="T299" s="101"/>
      <c r="U299" s="101"/>
      <c r="V299" s="101"/>
      <c r="W299" s="101"/>
      <c r="X299" s="101"/>
      <c r="Y299" s="100"/>
      <c r="Z299" s="101"/>
      <c r="AA299" s="101"/>
      <c r="AB299" s="101"/>
      <c r="AC299" s="101"/>
    </row>
    <row r="300" spans="1:29" x14ac:dyDescent="0.3">
      <c r="A300" s="179">
        <v>10</v>
      </c>
      <c r="B300" s="101"/>
      <c r="C300" s="100"/>
      <c r="D300" s="100"/>
      <c r="E300" s="100"/>
      <c r="F300" s="100"/>
      <c r="G300" s="100"/>
      <c r="H300" s="100"/>
      <c r="I300" s="101"/>
      <c r="J300" s="101"/>
      <c r="K300" s="100"/>
      <c r="L300" s="101"/>
      <c r="M300" s="101"/>
      <c r="N300" s="101"/>
      <c r="P300" s="179">
        <v>10</v>
      </c>
      <c r="Q300" s="101"/>
      <c r="R300" s="101"/>
      <c r="S300" s="101"/>
      <c r="T300" s="101"/>
      <c r="U300" s="101"/>
      <c r="V300" s="101"/>
      <c r="W300" s="101"/>
      <c r="X300" s="101"/>
      <c r="Y300" s="100"/>
      <c r="Z300" s="101"/>
      <c r="AA300" s="101"/>
      <c r="AB300" s="101"/>
      <c r="AC300" s="101"/>
    </row>
    <row r="301" spans="1:29" x14ac:dyDescent="0.3">
      <c r="A301" s="179">
        <v>12</v>
      </c>
      <c r="B301" s="101"/>
      <c r="C301" s="100"/>
      <c r="D301" s="100"/>
      <c r="E301" s="100"/>
      <c r="F301" s="100"/>
      <c r="G301" s="100"/>
      <c r="H301" s="100"/>
      <c r="I301" s="101"/>
      <c r="J301" s="101"/>
      <c r="K301" s="100"/>
      <c r="L301" s="101"/>
      <c r="M301" s="101"/>
      <c r="N301" s="101"/>
      <c r="P301" s="179">
        <v>12</v>
      </c>
      <c r="Q301" s="101"/>
      <c r="R301" s="101"/>
      <c r="S301" s="101"/>
      <c r="T301" s="101"/>
      <c r="U301" s="101"/>
      <c r="V301" s="101"/>
      <c r="W301" s="101"/>
      <c r="X301" s="101"/>
      <c r="Y301" s="100"/>
      <c r="Z301" s="101"/>
      <c r="AA301" s="101"/>
      <c r="AB301" s="101"/>
      <c r="AC301" s="101"/>
    </row>
    <row r="302" spans="1:29" x14ac:dyDescent="0.3">
      <c r="A302" s="179">
        <v>14</v>
      </c>
      <c r="B302" s="101"/>
      <c r="C302" s="100"/>
      <c r="D302" s="100"/>
      <c r="E302" s="100"/>
      <c r="F302" s="100"/>
      <c r="G302" s="100"/>
      <c r="H302" s="100"/>
      <c r="I302" s="101"/>
      <c r="J302" s="101"/>
      <c r="K302" s="100"/>
      <c r="L302" s="101"/>
      <c r="M302" s="101"/>
      <c r="N302" s="101"/>
      <c r="P302" s="179">
        <v>14</v>
      </c>
      <c r="Q302" s="101"/>
      <c r="R302" s="101"/>
      <c r="S302" s="101"/>
      <c r="T302" s="101"/>
      <c r="U302" s="101"/>
      <c r="V302" s="101"/>
      <c r="W302" s="101"/>
      <c r="X302" s="101"/>
      <c r="Y302" s="100"/>
      <c r="Z302" s="101"/>
      <c r="AA302" s="101"/>
      <c r="AB302" s="101"/>
      <c r="AC302" s="100"/>
    </row>
    <row r="303" spans="1:29" x14ac:dyDescent="0.3">
      <c r="A303" s="179">
        <v>16</v>
      </c>
      <c r="B303" s="101"/>
      <c r="C303" s="100"/>
      <c r="D303" s="100"/>
      <c r="E303" s="100"/>
      <c r="F303" s="100"/>
      <c r="G303" s="100"/>
      <c r="H303" s="100"/>
      <c r="I303" s="101"/>
      <c r="J303" s="101"/>
      <c r="K303" s="100"/>
      <c r="L303" s="101"/>
      <c r="M303" s="101"/>
      <c r="N303" s="101"/>
      <c r="P303" s="179">
        <v>16</v>
      </c>
      <c r="Q303" s="101"/>
      <c r="R303" s="101"/>
      <c r="S303" s="101"/>
      <c r="T303" s="101"/>
      <c r="U303" s="101"/>
      <c r="V303" s="101"/>
      <c r="W303" s="101"/>
      <c r="X303" s="101"/>
      <c r="Y303" s="100"/>
      <c r="Z303" s="101"/>
      <c r="AA303" s="101"/>
      <c r="AB303" s="101"/>
      <c r="AC303" s="100"/>
    </row>
    <row r="304" spans="1:29" x14ac:dyDescent="0.3">
      <c r="A304" s="179">
        <v>18</v>
      </c>
      <c r="B304" s="101"/>
      <c r="C304" s="100"/>
      <c r="D304" s="100"/>
      <c r="E304" s="100"/>
      <c r="F304" s="100"/>
      <c r="G304" s="100"/>
      <c r="H304" s="100"/>
      <c r="I304" s="101"/>
      <c r="J304" s="101"/>
      <c r="K304" s="100"/>
      <c r="L304" s="101"/>
      <c r="M304" s="101"/>
      <c r="N304" s="101"/>
      <c r="P304" s="179">
        <v>18</v>
      </c>
      <c r="Q304" s="101"/>
      <c r="R304" s="101"/>
      <c r="S304" s="101"/>
      <c r="T304" s="101"/>
      <c r="U304" s="101"/>
      <c r="V304" s="101"/>
      <c r="W304" s="101"/>
      <c r="X304" s="101"/>
      <c r="Y304" s="100"/>
      <c r="Z304" s="101"/>
      <c r="AA304" s="101"/>
      <c r="AB304" s="101"/>
      <c r="AC304" s="100"/>
    </row>
    <row r="305" spans="1:29" x14ac:dyDescent="0.3">
      <c r="A305" s="179">
        <v>20</v>
      </c>
      <c r="B305" s="101"/>
      <c r="C305" s="100"/>
      <c r="D305" s="100"/>
      <c r="E305" s="100"/>
      <c r="F305" s="100"/>
      <c r="G305" s="100"/>
      <c r="H305" s="100"/>
      <c r="I305" s="101"/>
      <c r="J305" s="101"/>
      <c r="K305" s="100"/>
      <c r="L305" s="101"/>
      <c r="M305" s="101"/>
      <c r="N305" s="101"/>
      <c r="P305" s="179">
        <v>20</v>
      </c>
      <c r="Q305" s="101"/>
      <c r="R305" s="101"/>
      <c r="S305" s="101"/>
      <c r="T305" s="101"/>
      <c r="U305" s="101"/>
      <c r="V305" s="101"/>
      <c r="W305" s="101"/>
      <c r="X305" s="101"/>
      <c r="Y305" s="100"/>
      <c r="Z305" s="101"/>
      <c r="AA305" s="101"/>
      <c r="AB305" s="101"/>
      <c r="AC305" s="100"/>
    </row>
    <row r="306" spans="1:29" x14ac:dyDescent="0.3">
      <c r="A306" s="179">
        <v>24</v>
      </c>
      <c r="B306" s="101"/>
      <c r="C306" s="100"/>
      <c r="D306" s="100"/>
      <c r="E306" s="100"/>
      <c r="F306" s="100"/>
      <c r="G306" s="100"/>
      <c r="H306" s="100"/>
      <c r="I306" s="101"/>
      <c r="J306" s="101"/>
      <c r="K306" s="100"/>
      <c r="L306" s="101"/>
      <c r="M306" s="101"/>
      <c r="N306" s="101"/>
      <c r="P306" s="179">
        <v>24</v>
      </c>
      <c r="Q306" s="101"/>
      <c r="R306" s="101"/>
      <c r="S306" s="101"/>
      <c r="T306" s="101"/>
      <c r="U306" s="101"/>
      <c r="V306" s="101"/>
      <c r="W306" s="101"/>
      <c r="X306" s="101"/>
      <c r="Y306" s="100"/>
      <c r="Z306" s="101"/>
      <c r="AA306" s="101"/>
      <c r="AB306" s="101"/>
      <c r="AC306" s="100"/>
    </row>
    <row r="307" spans="1:29" x14ac:dyDescent="0.3">
      <c r="A307" s="179">
        <v>26</v>
      </c>
      <c r="B307" s="101"/>
      <c r="C307" s="100"/>
      <c r="D307" s="100"/>
      <c r="E307" s="100"/>
      <c r="F307" s="100"/>
      <c r="G307" s="100"/>
      <c r="H307" s="100"/>
      <c r="I307" s="101"/>
      <c r="J307" s="101"/>
      <c r="K307" s="100"/>
      <c r="L307" s="101"/>
      <c r="M307" s="101"/>
      <c r="N307" s="101"/>
      <c r="P307" s="179">
        <v>26</v>
      </c>
      <c r="Q307" s="101"/>
      <c r="R307" s="101"/>
      <c r="S307" s="101"/>
      <c r="T307" s="101"/>
      <c r="U307" s="101"/>
      <c r="V307" s="100"/>
      <c r="W307" s="101"/>
      <c r="X307" s="101"/>
      <c r="Y307" s="100"/>
      <c r="Z307" s="100"/>
      <c r="AA307" s="100"/>
      <c r="AB307" s="100"/>
      <c r="AC307" s="100"/>
    </row>
    <row r="308" spans="1:29" x14ac:dyDescent="0.3">
      <c r="A308" s="179">
        <v>28</v>
      </c>
      <c r="B308" s="101"/>
      <c r="C308" s="100"/>
      <c r="D308" s="100"/>
      <c r="E308" s="100"/>
      <c r="F308" s="100"/>
      <c r="G308" s="100"/>
      <c r="H308" s="100"/>
      <c r="I308" s="101"/>
      <c r="J308" s="101"/>
      <c r="K308" s="100"/>
      <c r="L308" s="101"/>
      <c r="M308" s="101"/>
      <c r="N308" s="101"/>
      <c r="P308" s="179">
        <v>28</v>
      </c>
      <c r="Q308" s="101"/>
      <c r="R308" s="101"/>
      <c r="S308" s="101"/>
      <c r="T308" s="101"/>
      <c r="U308" s="101"/>
      <c r="V308" s="100"/>
      <c r="W308" s="101"/>
      <c r="X308" s="101"/>
      <c r="Y308" s="100"/>
      <c r="Z308" s="100"/>
      <c r="AA308" s="100"/>
      <c r="AB308" s="100"/>
      <c r="AC308" s="100"/>
    </row>
    <row r="309" spans="1:29" x14ac:dyDescent="0.3">
      <c r="A309" s="179">
        <v>30</v>
      </c>
      <c r="B309" s="101"/>
      <c r="C309" s="100"/>
      <c r="D309" s="100"/>
      <c r="E309" s="100"/>
      <c r="F309" s="100"/>
      <c r="G309" s="100"/>
      <c r="H309" s="100"/>
      <c r="I309" s="101"/>
      <c r="J309" s="101"/>
      <c r="K309" s="100"/>
      <c r="L309" s="101"/>
      <c r="M309" s="101"/>
      <c r="N309" s="101"/>
      <c r="P309" s="179">
        <v>30</v>
      </c>
      <c r="Q309" s="101"/>
      <c r="R309" s="101"/>
      <c r="S309" s="101"/>
      <c r="T309" s="101"/>
      <c r="U309" s="101"/>
      <c r="V309" s="100"/>
      <c r="W309" s="101"/>
      <c r="X309" s="101"/>
      <c r="Y309" s="100"/>
      <c r="Z309" s="100"/>
      <c r="AA309" s="100"/>
      <c r="AB309" s="100"/>
      <c r="AC309" s="100"/>
    </row>
    <row r="310" spans="1:29" x14ac:dyDescent="0.3">
      <c r="A310" s="179">
        <v>32</v>
      </c>
      <c r="B310" s="101"/>
      <c r="C310" s="100"/>
      <c r="D310" s="100"/>
      <c r="E310" s="100"/>
      <c r="F310" s="100"/>
      <c r="G310" s="100"/>
      <c r="H310" s="100"/>
      <c r="I310" s="101"/>
      <c r="J310" s="101"/>
      <c r="K310" s="100"/>
      <c r="L310" s="101"/>
      <c r="M310" s="101"/>
      <c r="N310" s="101"/>
      <c r="P310" s="179">
        <v>32</v>
      </c>
      <c r="Q310" s="101"/>
      <c r="R310" s="101"/>
      <c r="S310" s="101"/>
      <c r="T310" s="101"/>
      <c r="U310" s="101"/>
      <c r="V310" s="100"/>
      <c r="W310" s="101"/>
      <c r="X310" s="101"/>
      <c r="Y310" s="100"/>
      <c r="Z310" s="100"/>
      <c r="AA310" s="100"/>
      <c r="AB310" s="100"/>
      <c r="AC310" s="100"/>
    </row>
    <row r="311" spans="1:29" x14ac:dyDescent="0.3">
      <c r="A311" s="179">
        <v>36</v>
      </c>
      <c r="B311" s="101"/>
      <c r="C311" s="100"/>
      <c r="D311" s="100"/>
      <c r="E311" s="100"/>
      <c r="F311" s="100"/>
      <c r="G311" s="100"/>
      <c r="H311" s="100"/>
      <c r="I311" s="101"/>
      <c r="J311" s="101"/>
      <c r="K311" s="100"/>
      <c r="L311" s="101"/>
      <c r="M311" s="101"/>
      <c r="N311" s="101"/>
      <c r="P311" s="179">
        <v>36</v>
      </c>
      <c r="Q311" s="100"/>
      <c r="R311" s="101"/>
      <c r="S311" s="101"/>
      <c r="T311" s="101"/>
      <c r="U311" s="101"/>
      <c r="V311" s="100"/>
      <c r="W311" s="101"/>
      <c r="X311" s="101"/>
      <c r="Y311" s="100"/>
      <c r="Z311" s="100"/>
      <c r="AA311" s="100"/>
      <c r="AB311" s="100"/>
      <c r="AC311" s="100"/>
    </row>
    <row r="312" spans="1:29" x14ac:dyDescent="0.3">
      <c r="A312" s="179">
        <v>42</v>
      </c>
      <c r="B312" s="101"/>
      <c r="C312" s="100"/>
      <c r="D312" s="100"/>
      <c r="E312" s="100"/>
      <c r="F312" s="100"/>
      <c r="G312" s="100"/>
      <c r="H312" s="100"/>
      <c r="I312" s="101"/>
      <c r="J312" s="101"/>
      <c r="K312" s="100"/>
      <c r="L312" s="101"/>
      <c r="M312" s="101"/>
      <c r="N312" s="101"/>
      <c r="P312" s="179">
        <v>42</v>
      </c>
      <c r="Q312" s="100"/>
      <c r="R312" s="100"/>
      <c r="S312" s="100"/>
      <c r="T312" s="101"/>
      <c r="U312" s="100"/>
      <c r="V312" s="100"/>
      <c r="W312" s="100"/>
      <c r="X312" s="100"/>
      <c r="Y312" s="100"/>
      <c r="Z312" s="100"/>
      <c r="AA312" s="100"/>
      <c r="AB312" s="100"/>
      <c r="AC312" s="100"/>
    </row>
    <row r="313" spans="1:29" x14ac:dyDescent="0.3">
      <c r="A313" s="179">
        <v>48</v>
      </c>
      <c r="B313" s="101"/>
      <c r="C313" s="100"/>
      <c r="D313" s="100"/>
      <c r="E313" s="100"/>
      <c r="F313" s="100"/>
      <c r="G313" s="100"/>
      <c r="H313" s="100"/>
      <c r="I313" s="101"/>
      <c r="J313" s="101"/>
      <c r="K313" s="100"/>
      <c r="L313" s="101"/>
      <c r="M313" s="101"/>
      <c r="N313" s="101"/>
      <c r="P313" s="179">
        <v>48</v>
      </c>
      <c r="Q313" s="100"/>
      <c r="R313" s="100"/>
      <c r="S313" s="100"/>
      <c r="T313" s="101"/>
      <c r="U313" s="100"/>
      <c r="V313" s="100"/>
      <c r="W313" s="100"/>
      <c r="X313" s="100"/>
      <c r="Y313" s="100"/>
      <c r="Z313" s="100"/>
      <c r="AA313" s="100"/>
      <c r="AB313" s="100"/>
      <c r="AC313" s="100"/>
    </row>
    <row r="314" spans="1:29" x14ac:dyDescent="0.3">
      <c r="A314" s="83"/>
      <c r="B314" s="84"/>
      <c r="C314" s="84"/>
      <c r="D314" s="84"/>
      <c r="E314" s="84"/>
      <c r="F314" s="84"/>
      <c r="G314" s="84"/>
      <c r="H314" s="84"/>
      <c r="I314" s="84"/>
      <c r="J314" s="84"/>
      <c r="K314" s="84"/>
      <c r="L314" s="84"/>
      <c r="M314" s="84"/>
      <c r="N314" s="84"/>
      <c r="P314" s="83"/>
      <c r="Q314" s="84"/>
      <c r="R314" s="84"/>
      <c r="S314" s="84"/>
      <c r="T314" s="84"/>
      <c r="U314" s="84"/>
      <c r="V314" s="84"/>
      <c r="W314" s="84"/>
      <c r="X314" s="84"/>
      <c r="Y314" s="84"/>
      <c r="Z314" s="84"/>
      <c r="AA314" s="84"/>
      <c r="AB314" s="84"/>
      <c r="AC314" s="84"/>
    </row>
    <row r="315" spans="1:29" x14ac:dyDescent="0.3">
      <c r="A315" s="85" t="s">
        <v>764</v>
      </c>
      <c r="B315" s="100" t="s">
        <v>704</v>
      </c>
      <c r="C315" s="100" t="s">
        <v>705</v>
      </c>
      <c r="D315" s="100" t="s">
        <v>706</v>
      </c>
      <c r="E315" s="100" t="s">
        <v>707</v>
      </c>
      <c r="F315" s="100" t="s">
        <v>708</v>
      </c>
      <c r="G315" s="100" t="s">
        <v>709</v>
      </c>
      <c r="H315" s="100" t="s">
        <v>710</v>
      </c>
      <c r="I315" s="100" t="s">
        <v>711</v>
      </c>
      <c r="J315" s="100" t="s">
        <v>712</v>
      </c>
      <c r="K315" s="100" t="s">
        <v>713</v>
      </c>
      <c r="L315" s="100" t="s">
        <v>714</v>
      </c>
      <c r="M315" s="100" t="s">
        <v>715</v>
      </c>
      <c r="N315" s="100" t="s">
        <v>716</v>
      </c>
      <c r="P315" s="86" t="s">
        <v>765</v>
      </c>
      <c r="Q315" s="183" t="s">
        <v>704</v>
      </c>
      <c r="R315" s="183" t="s">
        <v>705</v>
      </c>
      <c r="S315" s="183" t="s">
        <v>706</v>
      </c>
      <c r="T315" s="183" t="s">
        <v>707</v>
      </c>
      <c r="U315" s="183" t="s">
        <v>708</v>
      </c>
      <c r="V315" s="183" t="s">
        <v>709</v>
      </c>
      <c r="W315" s="183" t="s">
        <v>710</v>
      </c>
      <c r="X315" s="183" t="s">
        <v>711</v>
      </c>
      <c r="Y315" s="183" t="s">
        <v>712</v>
      </c>
      <c r="Z315" s="183" t="s">
        <v>713</v>
      </c>
      <c r="AA315" s="183" t="s">
        <v>714</v>
      </c>
      <c r="AB315" s="183" t="s">
        <v>715</v>
      </c>
      <c r="AC315" s="183" t="s">
        <v>716</v>
      </c>
    </row>
    <row r="316" spans="1:29" x14ac:dyDescent="0.3">
      <c r="A316" s="179" t="s">
        <v>718</v>
      </c>
      <c r="B316" s="101">
        <v>0.55000000000000004</v>
      </c>
      <c r="C316" s="100"/>
      <c r="D316" s="100"/>
      <c r="E316" s="100">
        <v>0.55000000000000004</v>
      </c>
      <c r="F316" s="100">
        <v>0.55000000000000004</v>
      </c>
      <c r="G316" s="100"/>
      <c r="H316" s="100">
        <v>0.55000000000000004</v>
      </c>
      <c r="I316" s="101">
        <v>0.55000000000000004</v>
      </c>
      <c r="J316" s="101"/>
      <c r="K316" s="100"/>
      <c r="L316" s="101"/>
      <c r="M316" s="101">
        <v>0.55000000000000004</v>
      </c>
      <c r="N316" s="101">
        <v>0.55000000000000004</v>
      </c>
      <c r="P316" s="179" t="s">
        <v>718</v>
      </c>
      <c r="Q316" s="183">
        <v>0.68</v>
      </c>
      <c r="R316" s="100"/>
      <c r="S316" s="100"/>
      <c r="T316" s="183">
        <v>0.68</v>
      </c>
      <c r="U316" s="183">
        <v>0.68</v>
      </c>
      <c r="V316" s="100"/>
      <c r="W316" s="183">
        <v>0.68</v>
      </c>
      <c r="X316" s="101">
        <v>0.68</v>
      </c>
      <c r="Y316" s="100"/>
      <c r="Z316" s="100"/>
      <c r="AA316" s="100"/>
      <c r="AB316" s="101">
        <v>0.68</v>
      </c>
      <c r="AC316" s="101">
        <v>0.68</v>
      </c>
    </row>
    <row r="317" spans="1:29" x14ac:dyDescent="0.3">
      <c r="A317" s="179" t="s">
        <v>719</v>
      </c>
      <c r="B317" s="101">
        <v>0.85</v>
      </c>
      <c r="C317" s="100"/>
      <c r="D317" s="100"/>
      <c r="E317" s="100">
        <v>0.85</v>
      </c>
      <c r="F317" s="100">
        <v>0.85</v>
      </c>
      <c r="G317" s="100"/>
      <c r="H317" s="100">
        <v>0.85</v>
      </c>
      <c r="I317" s="101">
        <v>0.85</v>
      </c>
      <c r="J317" s="101"/>
      <c r="K317" s="100"/>
      <c r="L317" s="101"/>
      <c r="M317" s="101">
        <v>0.85</v>
      </c>
      <c r="N317" s="101">
        <v>0.85</v>
      </c>
      <c r="P317" s="179" t="s">
        <v>719</v>
      </c>
      <c r="Q317" s="183">
        <v>0.91</v>
      </c>
      <c r="R317" s="100"/>
      <c r="S317" s="100"/>
      <c r="T317" s="183">
        <v>0.91</v>
      </c>
      <c r="U317" s="183">
        <v>0.91</v>
      </c>
      <c r="V317" s="100"/>
      <c r="W317" s="183">
        <v>0.91</v>
      </c>
      <c r="X317" s="101">
        <v>0.91</v>
      </c>
      <c r="Y317" s="100"/>
      <c r="Z317" s="100"/>
      <c r="AA317" s="100"/>
      <c r="AB317" s="101">
        <v>0.91</v>
      </c>
      <c r="AC317" s="101">
        <v>0.91</v>
      </c>
    </row>
    <row r="318" spans="1:29" x14ac:dyDescent="0.3">
      <c r="A318" s="179">
        <v>1</v>
      </c>
      <c r="B318" s="101">
        <v>1.07</v>
      </c>
      <c r="C318" s="100"/>
      <c r="D318" s="100"/>
      <c r="E318" s="100">
        <v>1.07</v>
      </c>
      <c r="F318" s="100">
        <v>1.07</v>
      </c>
      <c r="G318" s="100"/>
      <c r="H318" s="100">
        <v>1.07</v>
      </c>
      <c r="I318" s="101">
        <v>1.07</v>
      </c>
      <c r="J318" s="101"/>
      <c r="K318" s="100"/>
      <c r="L318" s="101"/>
      <c r="M318" s="101">
        <v>1.07</v>
      </c>
      <c r="N318" s="101">
        <v>1.07</v>
      </c>
      <c r="P318" s="179">
        <v>1</v>
      </c>
      <c r="Q318" s="183">
        <v>1.19</v>
      </c>
      <c r="R318" s="100"/>
      <c r="S318" s="100"/>
      <c r="T318" s="183">
        <v>1.19</v>
      </c>
      <c r="U318" s="183">
        <v>1.19</v>
      </c>
      <c r="V318" s="100"/>
      <c r="W318" s="183">
        <v>1.19</v>
      </c>
      <c r="X318" s="101">
        <v>1.19</v>
      </c>
      <c r="Y318" s="100"/>
      <c r="Z318" s="100"/>
      <c r="AA318" s="100"/>
      <c r="AB318" s="101">
        <v>1.19</v>
      </c>
      <c r="AC318" s="101">
        <v>1.19</v>
      </c>
    </row>
    <row r="319" spans="1:29" x14ac:dyDescent="0.3">
      <c r="A319" s="179" t="s">
        <v>720</v>
      </c>
      <c r="B319" s="101">
        <v>1.4</v>
      </c>
      <c r="C319" s="100"/>
      <c r="D319" s="100"/>
      <c r="E319" s="100">
        <v>1.4</v>
      </c>
      <c r="F319" s="100">
        <v>1.4</v>
      </c>
      <c r="G319" s="100"/>
      <c r="H319" s="100">
        <v>1.4</v>
      </c>
      <c r="I319" s="101">
        <v>1.4</v>
      </c>
      <c r="J319" s="101"/>
      <c r="K319" s="100"/>
      <c r="L319" s="101"/>
      <c r="M319" s="101">
        <v>1.4</v>
      </c>
      <c r="N319" s="101">
        <v>1.54</v>
      </c>
      <c r="P319" s="179" t="s">
        <v>720</v>
      </c>
      <c r="Q319" s="183">
        <v>1.48</v>
      </c>
      <c r="R319" s="100"/>
      <c r="S319" s="100"/>
      <c r="T319" s="183">
        <v>1.48</v>
      </c>
      <c r="U319" s="183">
        <v>1.48</v>
      </c>
      <c r="V319" s="100"/>
      <c r="W319" s="183">
        <v>1.48</v>
      </c>
      <c r="X319" s="101">
        <v>1.48</v>
      </c>
      <c r="Y319" s="100"/>
      <c r="Z319" s="100"/>
      <c r="AA319" s="100"/>
      <c r="AB319" s="101">
        <v>1.48</v>
      </c>
      <c r="AC319" s="101">
        <v>1.63</v>
      </c>
    </row>
    <row r="320" spans="1:29" x14ac:dyDescent="0.3">
      <c r="A320" s="179">
        <v>2</v>
      </c>
      <c r="B320" s="101">
        <v>1.67</v>
      </c>
      <c r="C320" s="100"/>
      <c r="D320" s="100"/>
      <c r="E320" s="100">
        <v>1.67</v>
      </c>
      <c r="F320" s="100">
        <v>1.67</v>
      </c>
      <c r="G320" s="100"/>
      <c r="H320" s="100">
        <v>1.67</v>
      </c>
      <c r="I320" s="101">
        <v>1.67</v>
      </c>
      <c r="J320" s="101"/>
      <c r="K320" s="100"/>
      <c r="L320" s="101"/>
      <c r="M320" s="101">
        <v>1.67</v>
      </c>
      <c r="N320" s="101">
        <v>1.85</v>
      </c>
      <c r="P320" s="179">
        <v>2</v>
      </c>
      <c r="Q320" s="183">
        <v>1.76</v>
      </c>
      <c r="R320" s="100"/>
      <c r="S320" s="100"/>
      <c r="T320" s="183">
        <v>1.76</v>
      </c>
      <c r="U320" s="183">
        <v>1.76</v>
      </c>
      <c r="V320" s="100"/>
      <c r="W320" s="183">
        <v>1.76</v>
      </c>
      <c r="X320" s="101">
        <v>1.76</v>
      </c>
      <c r="Y320" s="100"/>
      <c r="Z320" s="100"/>
      <c r="AA320" s="100"/>
      <c r="AB320" s="101">
        <v>1.76</v>
      </c>
      <c r="AC320" s="101">
        <v>1.95</v>
      </c>
    </row>
    <row r="321" spans="1:29" x14ac:dyDescent="0.3">
      <c r="A321" s="179" t="s">
        <v>721</v>
      </c>
      <c r="B321" s="101">
        <v>1.92</v>
      </c>
      <c r="C321" s="100"/>
      <c r="D321" s="100"/>
      <c r="E321" s="100">
        <v>1.92</v>
      </c>
      <c r="F321" s="100">
        <v>1.92</v>
      </c>
      <c r="G321" s="100"/>
      <c r="H321" s="100">
        <v>1.92</v>
      </c>
      <c r="I321" s="101">
        <v>1.92</v>
      </c>
      <c r="J321" s="101"/>
      <c r="K321" s="100"/>
      <c r="L321" s="101"/>
      <c r="M321" s="101">
        <v>1.92</v>
      </c>
      <c r="N321" s="101">
        <v>2.5</v>
      </c>
      <c r="P321" s="179" t="s">
        <v>721</v>
      </c>
      <c r="Q321" s="183">
        <v>2.0099999999999998</v>
      </c>
      <c r="R321" s="100"/>
      <c r="S321" s="100"/>
      <c r="T321" s="183">
        <v>2.0099999999999998</v>
      </c>
      <c r="U321" s="183">
        <v>2.0099999999999998</v>
      </c>
      <c r="V321" s="100"/>
      <c r="W321" s="183">
        <v>2.0099999999999998</v>
      </c>
      <c r="X321" s="101">
        <v>2.0099999999999998</v>
      </c>
      <c r="Y321" s="100"/>
      <c r="Z321" s="100"/>
      <c r="AA321" s="100"/>
      <c r="AB321" s="101">
        <v>2.0099999999999998</v>
      </c>
      <c r="AC321" s="101">
        <v>2.57</v>
      </c>
    </row>
    <row r="322" spans="1:29" x14ac:dyDescent="0.3">
      <c r="A322" s="179">
        <v>3</v>
      </c>
      <c r="B322" s="101">
        <v>2.14</v>
      </c>
      <c r="C322" s="100"/>
      <c r="D322" s="100"/>
      <c r="E322" s="100">
        <v>2.14</v>
      </c>
      <c r="F322" s="100">
        <v>2.14</v>
      </c>
      <c r="G322" s="100"/>
      <c r="H322" s="100">
        <v>2.14</v>
      </c>
      <c r="I322" s="101">
        <v>2.14</v>
      </c>
      <c r="J322" s="101"/>
      <c r="K322" s="100"/>
      <c r="L322" s="101"/>
      <c r="M322" s="101">
        <v>2.35</v>
      </c>
      <c r="N322" s="101">
        <v>2.77</v>
      </c>
      <c r="P322" s="179">
        <v>3</v>
      </c>
      <c r="Q322" s="183">
        <v>2.2400000000000002</v>
      </c>
      <c r="R322" s="100"/>
      <c r="S322" s="100"/>
      <c r="T322" s="183">
        <v>2.2400000000000002</v>
      </c>
      <c r="U322" s="183">
        <v>2.2400000000000002</v>
      </c>
      <c r="V322" s="100"/>
      <c r="W322" s="183">
        <v>2.2400000000000002</v>
      </c>
      <c r="X322" s="101">
        <v>2.2400000000000002</v>
      </c>
      <c r="Y322" s="100"/>
      <c r="Z322" s="100"/>
      <c r="AA322" s="100"/>
      <c r="AB322" s="101">
        <v>2.46</v>
      </c>
      <c r="AC322" s="101">
        <v>2.86</v>
      </c>
    </row>
    <row r="323" spans="1:29" x14ac:dyDescent="0.3">
      <c r="A323" s="179">
        <v>4</v>
      </c>
      <c r="B323" s="101">
        <v>2.6</v>
      </c>
      <c r="C323" s="100"/>
      <c r="D323" s="100"/>
      <c r="E323" s="100">
        <v>2.6</v>
      </c>
      <c r="F323" s="100">
        <v>2.6</v>
      </c>
      <c r="G323" s="100"/>
      <c r="H323" s="100">
        <v>2.6</v>
      </c>
      <c r="I323" s="101">
        <v>2.6</v>
      </c>
      <c r="J323" s="101"/>
      <c r="K323" s="100">
        <v>2.85</v>
      </c>
      <c r="L323" s="101"/>
      <c r="M323" s="101">
        <v>3.36</v>
      </c>
      <c r="N323" s="101">
        <v>3.72</v>
      </c>
      <c r="P323" s="179">
        <v>4</v>
      </c>
      <c r="Q323" s="183">
        <v>2.71</v>
      </c>
      <c r="R323" s="100"/>
      <c r="S323" s="100"/>
      <c r="T323" s="183">
        <v>2.71</v>
      </c>
      <c r="U323" s="183">
        <v>2.71</v>
      </c>
      <c r="V323" s="100"/>
      <c r="W323" s="183">
        <v>2.71</v>
      </c>
      <c r="X323" s="101">
        <v>2.71</v>
      </c>
      <c r="Y323" s="100"/>
      <c r="Z323" s="101">
        <v>2.96</v>
      </c>
      <c r="AA323" s="100"/>
      <c r="AB323" s="101">
        <v>3.45</v>
      </c>
      <c r="AC323" s="101">
        <v>3.87</v>
      </c>
    </row>
    <row r="324" spans="1:29" x14ac:dyDescent="0.3">
      <c r="A324" s="179">
        <v>6</v>
      </c>
      <c r="B324" s="101">
        <v>3.42</v>
      </c>
      <c r="C324" s="100"/>
      <c r="D324" s="100"/>
      <c r="E324" s="100">
        <v>3.42</v>
      </c>
      <c r="F324" s="100">
        <v>3.42</v>
      </c>
      <c r="G324" s="100"/>
      <c r="H324" s="100">
        <v>3.72</v>
      </c>
      <c r="I324" s="101">
        <v>3.72</v>
      </c>
      <c r="J324" s="100"/>
      <c r="K324" s="100">
        <v>4.4000000000000004</v>
      </c>
      <c r="L324" s="100"/>
      <c r="M324" s="101">
        <v>4.8499999999999996</v>
      </c>
      <c r="N324" s="101">
        <v>5.39</v>
      </c>
      <c r="P324" s="179">
        <v>6</v>
      </c>
      <c r="Q324" s="183">
        <v>3.51</v>
      </c>
      <c r="R324" s="100"/>
      <c r="S324" s="100"/>
      <c r="T324" s="183">
        <v>3.51</v>
      </c>
      <c r="U324" s="183">
        <v>3.51</v>
      </c>
      <c r="V324" s="100"/>
      <c r="W324" s="183">
        <v>3.83</v>
      </c>
      <c r="X324" s="101">
        <v>3.83</v>
      </c>
      <c r="Y324" s="101"/>
      <c r="Z324" s="101">
        <v>4.47</v>
      </c>
      <c r="AA324" s="100"/>
      <c r="AB324" s="101">
        <v>5.01</v>
      </c>
      <c r="AC324" s="101">
        <v>5.57</v>
      </c>
    </row>
    <row r="325" spans="1:29" x14ac:dyDescent="0.3">
      <c r="A325" s="179">
        <v>8</v>
      </c>
      <c r="B325" s="101">
        <v>4.22</v>
      </c>
      <c r="C325" s="101">
        <v>4.22</v>
      </c>
      <c r="D325" s="101">
        <v>4.22</v>
      </c>
      <c r="E325" s="100">
        <v>4.22</v>
      </c>
      <c r="F325" s="100">
        <v>4.22</v>
      </c>
      <c r="G325" s="100">
        <v>4.59</v>
      </c>
      <c r="H325" s="100">
        <v>4.59</v>
      </c>
      <c r="I325" s="101">
        <v>4.59</v>
      </c>
      <c r="J325" s="101">
        <v>5.43</v>
      </c>
      <c r="K325" s="100">
        <v>5.96</v>
      </c>
      <c r="L325" s="101">
        <v>6.61</v>
      </c>
      <c r="M325" s="101">
        <v>6.61</v>
      </c>
      <c r="N325" s="101">
        <v>6.61</v>
      </c>
      <c r="P325" s="179">
        <v>8</v>
      </c>
      <c r="Q325" s="183">
        <v>4.3</v>
      </c>
      <c r="R325" s="101">
        <v>4.3</v>
      </c>
      <c r="S325" s="101">
        <v>4.3</v>
      </c>
      <c r="T325" s="183">
        <v>4.3</v>
      </c>
      <c r="U325" s="183">
        <v>4.3</v>
      </c>
      <c r="V325" s="101">
        <v>4.6900000000000004</v>
      </c>
      <c r="W325" s="183">
        <v>4.6900000000000004</v>
      </c>
      <c r="X325" s="101">
        <v>4.6900000000000004</v>
      </c>
      <c r="Y325" s="100">
        <v>5.48</v>
      </c>
      <c r="Z325" s="101">
        <v>6.13</v>
      </c>
      <c r="AA325" s="101">
        <v>6.82</v>
      </c>
      <c r="AB325" s="101">
        <v>6.82</v>
      </c>
      <c r="AC325" s="101">
        <v>6.82</v>
      </c>
    </row>
    <row r="326" spans="1:29" x14ac:dyDescent="0.3">
      <c r="A326" s="179">
        <v>10</v>
      </c>
      <c r="B326" s="101">
        <v>5.04</v>
      </c>
      <c r="C326" s="101">
        <v>5.04</v>
      </c>
      <c r="D326" s="101">
        <v>5.04</v>
      </c>
      <c r="E326" s="100">
        <v>5.04</v>
      </c>
      <c r="F326" s="100">
        <v>5.04</v>
      </c>
      <c r="G326" s="100">
        <v>5.47</v>
      </c>
      <c r="H326" s="100">
        <v>5.47</v>
      </c>
      <c r="I326" s="101">
        <v>6.47</v>
      </c>
      <c r="J326" s="101">
        <v>7.09</v>
      </c>
      <c r="K326" s="100">
        <v>7.85</v>
      </c>
      <c r="L326" s="101">
        <v>8.76</v>
      </c>
      <c r="M326" s="101">
        <v>10.55</v>
      </c>
      <c r="N326" s="101">
        <v>8.76</v>
      </c>
      <c r="P326" s="179">
        <v>10</v>
      </c>
      <c r="Q326" s="183">
        <v>5.0999999999999996</v>
      </c>
      <c r="R326" s="101">
        <v>5.0999999999999996</v>
      </c>
      <c r="S326" s="101">
        <v>5.0999999999999996</v>
      </c>
      <c r="T326" s="183">
        <v>5.0999999999999996</v>
      </c>
      <c r="U326" s="183">
        <v>5.0999999999999996</v>
      </c>
      <c r="V326" s="101">
        <v>5.57</v>
      </c>
      <c r="W326" s="183">
        <v>5.57</v>
      </c>
      <c r="X326" s="101">
        <v>6.49</v>
      </c>
      <c r="Y326" s="100">
        <v>7.27</v>
      </c>
      <c r="Z326" s="101">
        <v>8.09</v>
      </c>
      <c r="AA326" s="101">
        <v>9.07</v>
      </c>
      <c r="AB326" s="101">
        <v>10.93</v>
      </c>
      <c r="AC326" s="101">
        <v>9.07</v>
      </c>
    </row>
    <row r="327" spans="1:29" x14ac:dyDescent="0.3">
      <c r="A327" s="179">
        <v>12</v>
      </c>
      <c r="B327" s="101">
        <v>5.85</v>
      </c>
      <c r="C327" s="101">
        <v>5.85</v>
      </c>
      <c r="D327" s="101">
        <v>5.85</v>
      </c>
      <c r="E327" s="100">
        <v>5.85</v>
      </c>
      <c r="F327" s="100">
        <v>6.34</v>
      </c>
      <c r="G327" s="100">
        <v>7.49</v>
      </c>
      <c r="H327" s="100">
        <v>6.34</v>
      </c>
      <c r="I327" s="101">
        <v>8.2100000000000009</v>
      </c>
      <c r="J327" s="101">
        <v>9.07</v>
      </c>
      <c r="K327" s="100">
        <v>10.11</v>
      </c>
      <c r="L327" s="101">
        <v>12.18</v>
      </c>
      <c r="M327" s="101">
        <v>14.64</v>
      </c>
      <c r="N327" s="101">
        <v>10.11</v>
      </c>
      <c r="P327" s="179">
        <v>12</v>
      </c>
      <c r="Q327" s="183">
        <v>5.9</v>
      </c>
      <c r="R327" s="101">
        <v>5.9</v>
      </c>
      <c r="S327" s="101">
        <v>5.9</v>
      </c>
      <c r="T327" s="183">
        <v>5.9</v>
      </c>
      <c r="U327" s="183">
        <v>6.44</v>
      </c>
      <c r="V327" s="101">
        <v>7.51</v>
      </c>
      <c r="W327" s="183">
        <v>6.44</v>
      </c>
      <c r="X327" s="101">
        <v>8.4</v>
      </c>
      <c r="Y327" s="100">
        <v>9.34</v>
      </c>
      <c r="Z327" s="101">
        <v>10.47</v>
      </c>
      <c r="AA327" s="101">
        <v>12.63</v>
      </c>
      <c r="AB327" s="101">
        <v>15.32</v>
      </c>
      <c r="AC327" s="101">
        <v>10.47</v>
      </c>
    </row>
    <row r="328" spans="1:29" x14ac:dyDescent="0.3">
      <c r="A328" s="179">
        <v>14</v>
      </c>
      <c r="B328" s="101">
        <v>6.66</v>
      </c>
      <c r="C328" s="101">
        <v>6.66</v>
      </c>
      <c r="D328" s="101">
        <v>6.66</v>
      </c>
      <c r="E328" s="100">
        <v>6.66</v>
      </c>
      <c r="F328" s="100">
        <v>7.22</v>
      </c>
      <c r="G328" s="100">
        <v>8.5299999999999994</v>
      </c>
      <c r="H328" s="100">
        <v>7.22</v>
      </c>
      <c r="I328" s="101">
        <v>9.34</v>
      </c>
      <c r="J328" s="101">
        <v>11.48</v>
      </c>
      <c r="K328" s="100">
        <v>13.84</v>
      </c>
      <c r="L328" s="101">
        <v>15.5</v>
      </c>
      <c r="M328" s="101">
        <v>17.72</v>
      </c>
      <c r="N328" s="100"/>
      <c r="P328" s="179">
        <v>14</v>
      </c>
      <c r="Q328" s="183">
        <v>6.7</v>
      </c>
      <c r="R328" s="101">
        <v>6.7</v>
      </c>
      <c r="S328" s="101">
        <v>6.7</v>
      </c>
      <c r="T328" s="183">
        <v>6.7</v>
      </c>
      <c r="U328" s="183">
        <v>7.31</v>
      </c>
      <c r="V328" s="101">
        <v>8.5299999999999994</v>
      </c>
      <c r="W328" s="183">
        <v>7.31</v>
      </c>
      <c r="X328" s="101">
        <v>9.5399999999999991</v>
      </c>
      <c r="Y328" s="100">
        <v>11.89</v>
      </c>
      <c r="Z328" s="101">
        <v>14.33</v>
      </c>
      <c r="AA328" s="101">
        <v>16.16</v>
      </c>
      <c r="AB328" s="101">
        <v>18.61</v>
      </c>
      <c r="AC328" s="100"/>
    </row>
    <row r="329" spans="1:29" x14ac:dyDescent="0.3">
      <c r="A329" s="179">
        <v>16</v>
      </c>
      <c r="B329" s="101">
        <v>7.47</v>
      </c>
      <c r="C329" s="101">
        <v>7.47</v>
      </c>
      <c r="D329" s="101">
        <v>7.47</v>
      </c>
      <c r="E329" s="100">
        <v>7.47</v>
      </c>
      <c r="F329" s="100">
        <v>8.09</v>
      </c>
      <c r="G329" s="100">
        <v>10.45</v>
      </c>
      <c r="H329" s="100">
        <v>8.09</v>
      </c>
      <c r="I329" s="101">
        <v>11.53</v>
      </c>
      <c r="J329" s="101">
        <v>15.47</v>
      </c>
      <c r="K329" s="100">
        <v>17.32</v>
      </c>
      <c r="L329" s="101">
        <v>19.78</v>
      </c>
      <c r="M329" s="101">
        <v>21.01</v>
      </c>
      <c r="N329" s="100"/>
      <c r="P329" s="179">
        <v>16</v>
      </c>
      <c r="Q329" s="183">
        <v>7.49</v>
      </c>
      <c r="R329" s="101">
        <v>7.49</v>
      </c>
      <c r="S329" s="101">
        <v>7.49</v>
      </c>
      <c r="T329" s="183">
        <v>7.49</v>
      </c>
      <c r="U329" s="183">
        <v>8.17</v>
      </c>
      <c r="V329" s="101">
        <v>10.66</v>
      </c>
      <c r="W329" s="183">
        <v>8.17</v>
      </c>
      <c r="X329" s="101">
        <v>11.85</v>
      </c>
      <c r="Y329" s="100">
        <v>16.02</v>
      </c>
      <c r="Z329" s="101">
        <v>18.059999999999999</v>
      </c>
      <c r="AA329" s="101">
        <v>20.78</v>
      </c>
      <c r="AB329" s="101">
        <v>22.15</v>
      </c>
      <c r="AC329" s="100"/>
    </row>
    <row r="330" spans="1:29" x14ac:dyDescent="0.3">
      <c r="A330" s="179">
        <v>18</v>
      </c>
      <c r="B330" s="101">
        <v>8.2899999999999991</v>
      </c>
      <c r="C330" s="101">
        <v>8.2899999999999991</v>
      </c>
      <c r="D330" s="101">
        <v>8.9700000000000006</v>
      </c>
      <c r="E330" s="100">
        <v>8.2899999999999991</v>
      </c>
      <c r="F330" s="100">
        <v>10.6</v>
      </c>
      <c r="G330" s="100">
        <v>11.58</v>
      </c>
      <c r="H330" s="100">
        <v>8.9700000000000006</v>
      </c>
      <c r="I330" s="101">
        <v>14.2</v>
      </c>
      <c r="J330" s="101">
        <v>19.16</v>
      </c>
      <c r="K330" s="100">
        <v>20.52</v>
      </c>
      <c r="L330" s="101">
        <v>23.23</v>
      </c>
      <c r="M330" s="101">
        <v>26.28</v>
      </c>
      <c r="N330" s="100"/>
      <c r="P330" s="179">
        <v>18</v>
      </c>
      <c r="Q330" s="183">
        <v>8.31</v>
      </c>
      <c r="R330" s="101">
        <v>8.31</v>
      </c>
      <c r="S330" s="101">
        <v>9.0399999999999991</v>
      </c>
      <c r="T330" s="183">
        <v>8.31</v>
      </c>
      <c r="U330" s="183">
        <v>10.68</v>
      </c>
      <c r="V330" s="101">
        <v>11.8</v>
      </c>
      <c r="W330" s="183">
        <v>9.0399999999999991</v>
      </c>
      <c r="X330" s="101">
        <v>14.7</v>
      </c>
      <c r="Y330" s="100">
        <v>19.98</v>
      </c>
      <c r="Z330" s="101">
        <v>21.49</v>
      </c>
      <c r="AA330" s="101">
        <v>24.5</v>
      </c>
      <c r="AB330" s="101">
        <v>27.89</v>
      </c>
      <c r="AC330" s="100"/>
    </row>
    <row r="331" spans="1:29" x14ac:dyDescent="0.3">
      <c r="A331" s="179">
        <v>20</v>
      </c>
      <c r="B331" s="101">
        <v>9.1</v>
      </c>
      <c r="C331" s="101">
        <v>9.1</v>
      </c>
      <c r="D331" s="101">
        <v>9.84</v>
      </c>
      <c r="E331" s="100">
        <v>9.1</v>
      </c>
      <c r="F331" s="100">
        <v>11.63</v>
      </c>
      <c r="G331" s="100">
        <v>13.99</v>
      </c>
      <c r="H331" s="100">
        <v>9.84</v>
      </c>
      <c r="I331" s="101">
        <v>18.760000000000002</v>
      </c>
      <c r="J331" s="101">
        <v>22.45</v>
      </c>
      <c r="K331" s="100">
        <v>23.93</v>
      </c>
      <c r="L331" s="101">
        <v>26.89</v>
      </c>
      <c r="M331" s="101">
        <v>30.58</v>
      </c>
      <c r="N331" s="100"/>
      <c r="P331" s="179">
        <v>20</v>
      </c>
      <c r="Q331" s="183">
        <v>9.1199999999999992</v>
      </c>
      <c r="R331" s="101">
        <v>9.1199999999999992</v>
      </c>
      <c r="S331" s="101">
        <v>9.9</v>
      </c>
      <c r="T331" s="183">
        <v>9.1199999999999992</v>
      </c>
      <c r="U331" s="183">
        <v>11.71</v>
      </c>
      <c r="V331" s="101">
        <v>14.36</v>
      </c>
      <c r="W331" s="183">
        <v>9.9</v>
      </c>
      <c r="X331" s="101">
        <v>19.41</v>
      </c>
      <c r="Y331" s="100">
        <v>23.53</v>
      </c>
      <c r="Z331" s="101">
        <v>25.17</v>
      </c>
      <c r="AA331" s="101">
        <v>28.47</v>
      </c>
      <c r="AB331" s="101">
        <v>32.590000000000003</v>
      </c>
      <c r="AC331" s="100"/>
    </row>
    <row r="332" spans="1:29" x14ac:dyDescent="0.3">
      <c r="A332" s="179">
        <v>24</v>
      </c>
      <c r="B332" s="101">
        <v>10.63</v>
      </c>
      <c r="C332" s="101">
        <v>10.63</v>
      </c>
      <c r="D332" s="101">
        <v>13.65</v>
      </c>
      <c r="E332" s="100">
        <v>10.63</v>
      </c>
      <c r="F332" s="100">
        <v>14.97</v>
      </c>
      <c r="G332" s="100">
        <v>18.5</v>
      </c>
      <c r="H332" s="100">
        <v>11.55</v>
      </c>
      <c r="I332" s="101">
        <v>25.03</v>
      </c>
      <c r="J332" s="101">
        <v>30.52</v>
      </c>
      <c r="K332" s="100">
        <v>34.64</v>
      </c>
      <c r="L332" s="101">
        <v>38.76</v>
      </c>
      <c r="M332" s="101">
        <v>40.590000000000003</v>
      </c>
      <c r="N332" s="100"/>
      <c r="P332" s="179">
        <v>24</v>
      </c>
      <c r="Q332" s="183">
        <v>10.83</v>
      </c>
      <c r="R332" s="101">
        <v>10.83</v>
      </c>
      <c r="S332" s="101">
        <v>13.81</v>
      </c>
      <c r="T332" s="183">
        <v>10.83</v>
      </c>
      <c r="U332" s="183">
        <v>15.48</v>
      </c>
      <c r="V332" s="101">
        <v>19.38</v>
      </c>
      <c r="W332" s="183">
        <v>11.84</v>
      </c>
      <c r="X332" s="101">
        <v>26.38</v>
      </c>
      <c r="Y332" s="100">
        <v>32.47</v>
      </c>
      <c r="Z332" s="101">
        <v>37.03</v>
      </c>
      <c r="AA332" s="101">
        <v>41.59</v>
      </c>
      <c r="AB332" s="101">
        <v>43.62</v>
      </c>
      <c r="AC332" s="100"/>
    </row>
    <row r="333" spans="1:29" x14ac:dyDescent="0.3">
      <c r="A333" s="179">
        <v>26</v>
      </c>
      <c r="B333" s="101"/>
      <c r="C333" s="101">
        <v>11.52</v>
      </c>
      <c r="D333" s="101">
        <v>14.78</v>
      </c>
      <c r="E333" s="100">
        <v>11.52</v>
      </c>
      <c r="F333" s="100">
        <v>16.22</v>
      </c>
      <c r="G333" s="100"/>
      <c r="H333" s="100">
        <v>12.51</v>
      </c>
      <c r="I333" s="100"/>
      <c r="J333" s="100"/>
      <c r="K333" s="100"/>
      <c r="L333" s="100"/>
      <c r="M333" s="100"/>
      <c r="N333" s="100"/>
      <c r="P333" s="179">
        <v>26</v>
      </c>
      <c r="Q333" s="183"/>
      <c r="R333" s="101">
        <v>12.16</v>
      </c>
      <c r="S333" s="101">
        <v>14.96</v>
      </c>
      <c r="T333" s="183">
        <v>11.74</v>
      </c>
      <c r="U333" s="183">
        <v>16.77</v>
      </c>
      <c r="V333" s="100"/>
      <c r="W333" s="183">
        <v>12.83</v>
      </c>
      <c r="X333" s="101"/>
      <c r="Y333" s="100"/>
      <c r="Z333" s="100"/>
      <c r="AA333" s="100"/>
      <c r="AB333" s="100"/>
      <c r="AC333" s="100"/>
    </row>
    <row r="334" spans="1:29" x14ac:dyDescent="0.3">
      <c r="A334" s="179">
        <v>28</v>
      </c>
      <c r="B334" s="101">
        <v>12.4</v>
      </c>
      <c r="C334" s="101">
        <v>12.4</v>
      </c>
      <c r="D334" s="101">
        <v>15.92</v>
      </c>
      <c r="E334" s="100">
        <v>12.4</v>
      </c>
      <c r="F334" s="100">
        <v>17.47</v>
      </c>
      <c r="G334" s="100"/>
      <c r="H334" s="100">
        <v>13.47</v>
      </c>
      <c r="I334" s="100"/>
      <c r="J334" s="100"/>
      <c r="K334" s="100"/>
      <c r="L334" s="100"/>
      <c r="M334" s="100"/>
      <c r="N334" s="100"/>
      <c r="P334" s="179">
        <v>28</v>
      </c>
      <c r="Q334" s="183">
        <v>13.49</v>
      </c>
      <c r="R334" s="101">
        <v>13.49</v>
      </c>
      <c r="S334" s="101">
        <v>16.11</v>
      </c>
      <c r="T334" s="183">
        <v>12.64</v>
      </c>
      <c r="U334" s="183">
        <v>18.07</v>
      </c>
      <c r="V334" s="100"/>
      <c r="W334" s="183">
        <v>13.83</v>
      </c>
      <c r="X334" s="101"/>
      <c r="Y334" s="100"/>
      <c r="Z334" s="100"/>
      <c r="AA334" s="100"/>
      <c r="AB334" s="100"/>
      <c r="AC334" s="100"/>
    </row>
    <row r="335" spans="1:29" x14ac:dyDescent="0.3">
      <c r="A335" s="179">
        <v>30</v>
      </c>
      <c r="B335" s="101">
        <v>14.36</v>
      </c>
      <c r="C335" s="101">
        <v>14.36</v>
      </c>
      <c r="D335" s="101">
        <v>16.96</v>
      </c>
      <c r="E335" s="100">
        <v>13.22</v>
      </c>
      <c r="F335" s="100">
        <v>18.62</v>
      </c>
      <c r="G335" s="100"/>
      <c r="H335" s="100">
        <v>14.36</v>
      </c>
      <c r="I335" s="100"/>
      <c r="J335" s="100"/>
      <c r="K335" s="100"/>
      <c r="L335" s="100"/>
      <c r="M335" s="100"/>
      <c r="N335" s="100"/>
      <c r="P335" s="179">
        <v>30</v>
      </c>
      <c r="Q335" s="183">
        <v>14.82</v>
      </c>
      <c r="R335" s="101">
        <v>14.82</v>
      </c>
      <c r="S335" s="101">
        <v>17.27</v>
      </c>
      <c r="T335" s="183">
        <v>13.55</v>
      </c>
      <c r="U335" s="183">
        <v>19.36</v>
      </c>
      <c r="V335" s="100"/>
      <c r="W335" s="183">
        <v>14.82</v>
      </c>
      <c r="X335" s="101"/>
      <c r="Y335" s="100"/>
      <c r="Z335" s="100"/>
      <c r="AA335" s="100"/>
      <c r="AB335" s="100"/>
      <c r="AC335" s="100"/>
    </row>
    <row r="336" spans="1:29" x14ac:dyDescent="0.3">
      <c r="A336" s="179">
        <v>32</v>
      </c>
      <c r="B336" s="101">
        <v>15.32</v>
      </c>
      <c r="C336" s="101">
        <v>15.32</v>
      </c>
      <c r="D336" s="101">
        <v>18.100000000000001</v>
      </c>
      <c r="E336" s="100">
        <v>14.1</v>
      </c>
      <c r="F336" s="100">
        <v>19.87</v>
      </c>
      <c r="G336" s="100"/>
      <c r="H336" s="100">
        <v>15.32</v>
      </c>
      <c r="I336" s="100"/>
      <c r="J336" s="100"/>
      <c r="K336" s="100"/>
      <c r="L336" s="100"/>
      <c r="M336" s="100"/>
      <c r="N336" s="100"/>
      <c r="P336" s="179">
        <v>32</v>
      </c>
      <c r="Q336" s="183">
        <v>15.82</v>
      </c>
      <c r="R336" s="101">
        <v>15.82</v>
      </c>
      <c r="S336" s="101">
        <v>18.43</v>
      </c>
      <c r="T336" s="183">
        <v>14.46</v>
      </c>
      <c r="U336" s="183">
        <v>20.66</v>
      </c>
      <c r="V336" s="100"/>
      <c r="W336" s="183">
        <v>15.82</v>
      </c>
      <c r="X336" s="101"/>
      <c r="Y336" s="100"/>
      <c r="Z336" s="100"/>
      <c r="AA336" s="100"/>
      <c r="AB336" s="100"/>
      <c r="AC336" s="100"/>
    </row>
    <row r="337" spans="1:29" x14ac:dyDescent="0.3">
      <c r="A337" s="179">
        <v>36</v>
      </c>
      <c r="B337" s="100"/>
      <c r="C337" s="101">
        <v>17.16</v>
      </c>
      <c r="D337" s="101">
        <v>20.27</v>
      </c>
      <c r="E337" s="100">
        <v>15.79</v>
      </c>
      <c r="F337" s="100">
        <v>22.26</v>
      </c>
      <c r="G337" s="100"/>
      <c r="H337" s="100">
        <v>17.16</v>
      </c>
      <c r="I337" s="100"/>
      <c r="J337" s="100"/>
      <c r="K337" s="100"/>
      <c r="L337" s="100"/>
      <c r="M337" s="100"/>
      <c r="N337" s="100"/>
      <c r="P337" s="179">
        <v>36</v>
      </c>
      <c r="Q337" s="100"/>
      <c r="R337" s="101">
        <v>17.809999999999999</v>
      </c>
      <c r="S337" s="101">
        <v>20.75</v>
      </c>
      <c r="T337" s="183">
        <v>16.29</v>
      </c>
      <c r="U337" s="183">
        <v>23.26</v>
      </c>
      <c r="V337" s="100"/>
      <c r="W337" s="183">
        <v>17.809999999999999</v>
      </c>
      <c r="X337" s="101"/>
      <c r="Y337" s="100"/>
      <c r="Z337" s="100"/>
      <c r="AA337" s="100"/>
      <c r="AB337" s="100"/>
      <c r="AC337" s="100"/>
    </row>
    <row r="338" spans="1:29" x14ac:dyDescent="0.3">
      <c r="A338" s="179">
        <v>42</v>
      </c>
      <c r="B338" s="100"/>
      <c r="C338" s="100"/>
      <c r="D338" s="100"/>
      <c r="E338" s="100">
        <v>18.38</v>
      </c>
      <c r="F338" s="100"/>
      <c r="G338" s="100"/>
      <c r="H338" s="100"/>
      <c r="I338" s="100"/>
      <c r="J338" s="100"/>
      <c r="K338" s="100"/>
      <c r="L338" s="100"/>
      <c r="M338" s="100"/>
      <c r="N338" s="100"/>
      <c r="P338" s="179">
        <v>42</v>
      </c>
      <c r="Q338" s="100"/>
      <c r="R338" s="100"/>
      <c r="S338" s="100"/>
      <c r="T338" s="183">
        <v>19.02</v>
      </c>
      <c r="U338" s="100"/>
      <c r="V338" s="100"/>
      <c r="W338" s="100"/>
      <c r="X338" s="100"/>
      <c r="Y338" s="100"/>
      <c r="Z338" s="100"/>
      <c r="AA338" s="100"/>
      <c r="AB338" s="100"/>
      <c r="AC338" s="100"/>
    </row>
    <row r="339" spans="1:29" x14ac:dyDescent="0.3">
      <c r="A339" s="179">
        <v>48</v>
      </c>
      <c r="B339" s="100"/>
      <c r="C339" s="100"/>
      <c r="D339" s="100"/>
      <c r="E339" s="100">
        <v>20.96</v>
      </c>
      <c r="F339" s="100"/>
      <c r="G339" s="100"/>
      <c r="H339" s="100"/>
      <c r="I339" s="100"/>
      <c r="J339" s="100"/>
      <c r="K339" s="100"/>
      <c r="L339" s="100"/>
      <c r="M339" s="100"/>
      <c r="N339" s="100"/>
      <c r="P339" s="179">
        <v>48</v>
      </c>
      <c r="Q339" s="100"/>
      <c r="R339" s="100"/>
      <c r="S339" s="100"/>
      <c r="T339" s="183">
        <v>21.76</v>
      </c>
      <c r="U339" s="100"/>
      <c r="V339" s="100"/>
      <c r="W339" s="100"/>
      <c r="X339" s="100"/>
      <c r="Y339" s="100"/>
      <c r="Z339" s="100"/>
      <c r="AA339" s="100"/>
      <c r="AB339" s="100"/>
      <c r="AC339" s="100"/>
    </row>
    <row r="340" spans="1:29" x14ac:dyDescent="0.3">
      <c r="A340" s="83"/>
      <c r="B340" s="84"/>
      <c r="C340" s="84"/>
      <c r="D340" s="84"/>
      <c r="E340" s="84"/>
      <c r="F340" s="84"/>
      <c r="G340" s="84"/>
      <c r="H340" s="84"/>
      <c r="I340" s="84"/>
      <c r="J340" s="84"/>
      <c r="K340" s="84"/>
      <c r="L340" s="84"/>
      <c r="M340" s="84"/>
      <c r="N340" s="84"/>
      <c r="P340" s="83"/>
      <c r="Q340" s="84"/>
      <c r="R340" s="84"/>
      <c r="S340" s="84"/>
      <c r="T340" s="84"/>
      <c r="U340" s="84"/>
      <c r="V340" s="84"/>
      <c r="W340" s="84"/>
      <c r="X340" s="84"/>
      <c r="Y340" s="84"/>
      <c r="Z340" s="84"/>
      <c r="AA340" s="84"/>
      <c r="AB340" s="84"/>
      <c r="AC340" s="84"/>
    </row>
    <row r="341" spans="1:29" x14ac:dyDescent="0.3">
      <c r="A341" s="85" t="s">
        <v>766</v>
      </c>
      <c r="B341" s="100" t="s">
        <v>704</v>
      </c>
      <c r="C341" s="100" t="s">
        <v>705</v>
      </c>
      <c r="D341" s="100" t="s">
        <v>706</v>
      </c>
      <c r="E341" s="100" t="s">
        <v>707</v>
      </c>
      <c r="F341" s="100" t="s">
        <v>708</v>
      </c>
      <c r="G341" s="100" t="s">
        <v>709</v>
      </c>
      <c r="H341" s="100" t="s">
        <v>710</v>
      </c>
      <c r="I341" s="100" t="s">
        <v>711</v>
      </c>
      <c r="J341" s="100" t="s">
        <v>712</v>
      </c>
      <c r="K341" s="100" t="s">
        <v>713</v>
      </c>
      <c r="L341" s="100" t="s">
        <v>714</v>
      </c>
      <c r="M341" s="100" t="s">
        <v>715</v>
      </c>
      <c r="N341" s="100" t="s">
        <v>716</v>
      </c>
      <c r="P341" s="86" t="s">
        <v>767</v>
      </c>
      <c r="Q341" s="183" t="s">
        <v>704</v>
      </c>
      <c r="R341" s="183" t="s">
        <v>705</v>
      </c>
      <c r="S341" s="183" t="s">
        <v>706</v>
      </c>
      <c r="T341" s="183" t="s">
        <v>707</v>
      </c>
      <c r="U341" s="183" t="s">
        <v>708</v>
      </c>
      <c r="V341" s="183" t="s">
        <v>709</v>
      </c>
      <c r="W341" s="183" t="s">
        <v>710</v>
      </c>
      <c r="X341" s="183" t="s">
        <v>711</v>
      </c>
      <c r="Y341" s="183" t="s">
        <v>712</v>
      </c>
      <c r="Z341" s="183" t="s">
        <v>713</v>
      </c>
      <c r="AA341" s="183" t="s">
        <v>714</v>
      </c>
      <c r="AB341" s="183" t="s">
        <v>715</v>
      </c>
      <c r="AC341" s="183" t="s">
        <v>716</v>
      </c>
    </row>
    <row r="342" spans="1:29" x14ac:dyDescent="0.3">
      <c r="A342" s="179" t="s">
        <v>718</v>
      </c>
      <c r="B342" s="101">
        <v>0.81</v>
      </c>
      <c r="C342" s="100"/>
      <c r="D342" s="100"/>
      <c r="E342" s="100">
        <v>0.81</v>
      </c>
      <c r="F342" s="100">
        <v>0.81</v>
      </c>
      <c r="G342" s="100"/>
      <c r="H342" s="100">
        <v>0.81</v>
      </c>
      <c r="I342" s="101">
        <v>0.81</v>
      </c>
      <c r="J342" s="101"/>
      <c r="K342" s="100"/>
      <c r="L342" s="101"/>
      <c r="M342" s="101">
        <v>0.81</v>
      </c>
      <c r="N342" s="101">
        <v>0.81</v>
      </c>
      <c r="P342" s="179" t="s">
        <v>718</v>
      </c>
      <c r="Q342" s="183">
        <v>0.87</v>
      </c>
      <c r="R342" s="100"/>
      <c r="S342" s="100"/>
      <c r="T342" s="183">
        <v>0.87</v>
      </c>
      <c r="U342" s="183">
        <v>0.87</v>
      </c>
      <c r="V342" s="100"/>
      <c r="W342" s="183">
        <v>0.87</v>
      </c>
      <c r="X342" s="101">
        <v>0.87</v>
      </c>
      <c r="Y342" s="100"/>
      <c r="Z342" s="100"/>
      <c r="AA342" s="100"/>
      <c r="AB342" s="101">
        <v>0.87</v>
      </c>
      <c r="AC342" s="101">
        <v>0.87</v>
      </c>
    </row>
    <row r="343" spans="1:29" x14ac:dyDescent="0.3">
      <c r="A343" s="179" t="s">
        <v>719</v>
      </c>
      <c r="B343" s="101">
        <v>1.0900000000000001</v>
      </c>
      <c r="C343" s="100"/>
      <c r="D343" s="100"/>
      <c r="E343" s="100">
        <v>1.0900000000000001</v>
      </c>
      <c r="F343" s="100">
        <v>1.0900000000000001</v>
      </c>
      <c r="G343" s="100"/>
      <c r="H343" s="100">
        <v>1.0900000000000001</v>
      </c>
      <c r="I343" s="101">
        <v>1.0900000000000001</v>
      </c>
      <c r="J343" s="101"/>
      <c r="K343" s="100"/>
      <c r="L343" s="101"/>
      <c r="M343" s="101">
        <v>1.0900000000000001</v>
      </c>
      <c r="N343" s="101">
        <v>1.0900000000000001</v>
      </c>
      <c r="P343" s="179" t="s">
        <v>719</v>
      </c>
      <c r="Q343" s="183">
        <v>1.22</v>
      </c>
      <c r="R343" s="100"/>
      <c r="S343" s="100"/>
      <c r="T343" s="183">
        <v>1.22</v>
      </c>
      <c r="U343" s="183">
        <v>1.22</v>
      </c>
      <c r="V343" s="100"/>
      <c r="W343" s="183">
        <v>1.22</v>
      </c>
      <c r="X343" s="101">
        <v>1.22</v>
      </c>
      <c r="Y343" s="100"/>
      <c r="Z343" s="100"/>
      <c r="AA343" s="100"/>
      <c r="AB343" s="101">
        <v>1.22</v>
      </c>
      <c r="AC343" s="101">
        <v>1.22</v>
      </c>
    </row>
    <row r="344" spans="1:29" x14ac:dyDescent="0.3">
      <c r="A344" s="179">
        <v>1</v>
      </c>
      <c r="B344" s="101">
        <v>1.4</v>
      </c>
      <c r="C344" s="100"/>
      <c r="D344" s="100"/>
      <c r="E344" s="100">
        <v>1.4</v>
      </c>
      <c r="F344" s="100">
        <v>1.4</v>
      </c>
      <c r="G344" s="100"/>
      <c r="H344" s="100">
        <v>1.4</v>
      </c>
      <c r="I344" s="101">
        <v>1.4</v>
      </c>
      <c r="J344" s="101"/>
      <c r="K344" s="100"/>
      <c r="L344" s="101"/>
      <c r="M344" s="101">
        <v>1.4</v>
      </c>
      <c r="N344" s="101">
        <v>1.4</v>
      </c>
      <c r="P344" s="179">
        <v>1</v>
      </c>
      <c r="Q344" s="183">
        <v>1.58</v>
      </c>
      <c r="R344" s="100"/>
      <c r="S344" s="100"/>
      <c r="T344" s="183">
        <v>1.58</v>
      </c>
      <c r="U344" s="183">
        <v>1.58</v>
      </c>
      <c r="V344" s="100"/>
      <c r="W344" s="183">
        <v>1.58</v>
      </c>
      <c r="X344" s="101">
        <v>1.58</v>
      </c>
      <c r="Y344" s="100"/>
      <c r="Z344" s="100"/>
      <c r="AA344" s="100"/>
      <c r="AB344" s="101">
        <v>1.58</v>
      </c>
      <c r="AC344" s="101">
        <v>1.58</v>
      </c>
    </row>
    <row r="345" spans="1:29" x14ac:dyDescent="0.3">
      <c r="A345" s="179" t="s">
        <v>720</v>
      </c>
      <c r="B345" s="101">
        <v>1.82</v>
      </c>
      <c r="C345" s="100"/>
      <c r="D345" s="100"/>
      <c r="E345" s="100">
        <v>1.82</v>
      </c>
      <c r="F345" s="100">
        <v>1.82</v>
      </c>
      <c r="G345" s="100"/>
      <c r="H345" s="100">
        <v>1.82</v>
      </c>
      <c r="I345" s="101">
        <v>1.82</v>
      </c>
      <c r="J345" s="101"/>
      <c r="K345" s="100"/>
      <c r="L345" s="101"/>
      <c r="M345" s="101">
        <v>1.82</v>
      </c>
      <c r="N345" s="101">
        <v>1.96</v>
      </c>
      <c r="P345" s="179" t="s">
        <v>720</v>
      </c>
      <c r="Q345" s="183">
        <v>1.96</v>
      </c>
      <c r="R345" s="100"/>
      <c r="S345" s="100"/>
      <c r="T345" s="183">
        <v>1.96</v>
      </c>
      <c r="U345" s="183">
        <v>1.96</v>
      </c>
      <c r="V345" s="100"/>
      <c r="W345" s="183">
        <v>1.96</v>
      </c>
      <c r="X345" s="101">
        <v>1.96</v>
      </c>
      <c r="Y345" s="100"/>
      <c r="Z345" s="100"/>
      <c r="AA345" s="100"/>
      <c r="AB345" s="101">
        <v>1.96</v>
      </c>
      <c r="AC345" s="101">
        <v>2.12</v>
      </c>
    </row>
    <row r="346" spans="1:29" x14ac:dyDescent="0.3">
      <c r="A346" s="179">
        <v>2</v>
      </c>
      <c r="B346" s="101">
        <v>2.2599999999999998</v>
      </c>
      <c r="C346" s="100"/>
      <c r="D346" s="100"/>
      <c r="E346" s="100">
        <v>2.2599999999999998</v>
      </c>
      <c r="F346" s="100">
        <v>2.2599999999999998</v>
      </c>
      <c r="G346" s="100"/>
      <c r="H346" s="100">
        <v>2.2599999999999998</v>
      </c>
      <c r="I346" s="101">
        <v>2.2599999999999998</v>
      </c>
      <c r="J346" s="101"/>
      <c r="K346" s="100"/>
      <c r="L346" s="101"/>
      <c r="M346" s="101">
        <v>2.2599999999999998</v>
      </c>
      <c r="N346" s="101">
        <v>2.4300000000000002</v>
      </c>
      <c r="P346" s="179">
        <v>2</v>
      </c>
      <c r="Q346" s="183">
        <v>2.35</v>
      </c>
      <c r="R346" s="100"/>
      <c r="S346" s="100"/>
      <c r="T346" s="183">
        <v>2.35</v>
      </c>
      <c r="U346" s="183">
        <v>2.35</v>
      </c>
      <c r="V346" s="100"/>
      <c r="W346" s="183">
        <v>2.35</v>
      </c>
      <c r="X346" s="101">
        <v>2.35</v>
      </c>
      <c r="Y346" s="100"/>
      <c r="Z346" s="100"/>
      <c r="AA346" s="100"/>
      <c r="AB346" s="101">
        <v>2.35</v>
      </c>
      <c r="AC346" s="101">
        <v>2.54</v>
      </c>
    </row>
    <row r="347" spans="1:29" x14ac:dyDescent="0.3">
      <c r="A347" s="179" t="s">
        <v>721</v>
      </c>
      <c r="B347" s="101">
        <v>2.57</v>
      </c>
      <c r="C347" s="100"/>
      <c r="D347" s="100"/>
      <c r="E347" s="100">
        <v>2.57</v>
      </c>
      <c r="F347" s="100">
        <v>2.57</v>
      </c>
      <c r="G347" s="100"/>
      <c r="H347" s="100">
        <v>2.57</v>
      </c>
      <c r="I347" s="101">
        <v>2.57</v>
      </c>
      <c r="J347" s="101"/>
      <c r="K347" s="100"/>
      <c r="L347" s="101"/>
      <c r="M347" s="101">
        <v>2.57</v>
      </c>
      <c r="N347" s="101">
        <v>3.31</v>
      </c>
      <c r="P347" s="179" t="s">
        <v>721</v>
      </c>
      <c r="Q347" s="183">
        <v>2.66</v>
      </c>
      <c r="R347" s="100"/>
      <c r="S347" s="100"/>
      <c r="T347" s="183">
        <v>2.66</v>
      </c>
      <c r="U347" s="183">
        <v>2.66</v>
      </c>
      <c r="V347" s="100"/>
      <c r="W347" s="183">
        <v>2.66</v>
      </c>
      <c r="X347" s="101">
        <v>2.66</v>
      </c>
      <c r="Y347" s="100"/>
      <c r="Z347" s="100"/>
      <c r="AA347" s="100"/>
      <c r="AB347" s="101">
        <v>2.66</v>
      </c>
      <c r="AC347" s="101">
        <v>3.39</v>
      </c>
    </row>
    <row r="348" spans="1:29" x14ac:dyDescent="0.3">
      <c r="A348" s="179">
        <v>3</v>
      </c>
      <c r="B348" s="101">
        <v>2.86</v>
      </c>
      <c r="C348" s="100"/>
      <c r="D348" s="100"/>
      <c r="E348" s="100">
        <v>2.86</v>
      </c>
      <c r="F348" s="100">
        <v>2.86</v>
      </c>
      <c r="G348" s="100"/>
      <c r="H348" s="100">
        <v>2.86</v>
      </c>
      <c r="I348" s="101">
        <v>2.86</v>
      </c>
      <c r="J348" s="101"/>
      <c r="K348" s="100"/>
      <c r="L348" s="101"/>
      <c r="M348" s="101">
        <v>3.08</v>
      </c>
      <c r="N348" s="101">
        <v>3.69</v>
      </c>
      <c r="P348" s="179">
        <v>3</v>
      </c>
      <c r="Q348" s="183">
        <v>2.96</v>
      </c>
      <c r="R348" s="100"/>
      <c r="S348" s="100"/>
      <c r="T348" s="183">
        <v>2.96</v>
      </c>
      <c r="U348" s="183">
        <v>2.96</v>
      </c>
      <c r="V348" s="100"/>
      <c r="W348" s="183">
        <v>2.96</v>
      </c>
      <c r="X348" s="101">
        <v>2.96</v>
      </c>
      <c r="Y348" s="100"/>
      <c r="Z348" s="100"/>
      <c r="AA348" s="100"/>
      <c r="AB348" s="101">
        <v>3.18</v>
      </c>
      <c r="AC348" s="101">
        <v>3.77</v>
      </c>
    </row>
    <row r="349" spans="1:29" x14ac:dyDescent="0.3">
      <c r="A349" s="179">
        <v>4</v>
      </c>
      <c r="B349" s="101">
        <v>3.47</v>
      </c>
      <c r="C349" s="100"/>
      <c r="D349" s="100"/>
      <c r="E349" s="100">
        <v>3.47</v>
      </c>
      <c r="F349" s="100">
        <v>3.47</v>
      </c>
      <c r="G349" s="100"/>
      <c r="H349" s="100">
        <v>3.47</v>
      </c>
      <c r="I349" s="101">
        <v>3.47</v>
      </c>
      <c r="J349" s="101"/>
      <c r="K349" s="100">
        <v>3.72</v>
      </c>
      <c r="L349" s="101"/>
      <c r="M349" s="101">
        <v>4.46</v>
      </c>
      <c r="N349" s="101">
        <v>4.82</v>
      </c>
      <c r="P349" s="179">
        <v>4</v>
      </c>
      <c r="Q349" s="183">
        <v>3.57</v>
      </c>
      <c r="R349" s="100"/>
      <c r="S349" s="100"/>
      <c r="T349" s="183">
        <v>3.57</v>
      </c>
      <c r="U349" s="183">
        <v>3.57</v>
      </c>
      <c r="V349" s="100"/>
      <c r="W349" s="183">
        <v>3.57</v>
      </c>
      <c r="X349" s="101">
        <v>3.57</v>
      </c>
      <c r="Y349" s="100"/>
      <c r="Z349" s="101">
        <v>3.82</v>
      </c>
      <c r="AA349" s="100"/>
      <c r="AB349" s="101">
        <v>4.54</v>
      </c>
      <c r="AC349" s="101">
        <v>4.96</v>
      </c>
    </row>
    <row r="350" spans="1:29" x14ac:dyDescent="0.3">
      <c r="A350" s="179">
        <v>6</v>
      </c>
      <c r="B350" s="101">
        <v>4.5</v>
      </c>
      <c r="C350" s="100"/>
      <c r="D350" s="100"/>
      <c r="E350" s="100">
        <v>4.5</v>
      </c>
      <c r="F350" s="100">
        <v>4.5</v>
      </c>
      <c r="G350" s="100"/>
      <c r="H350" s="100">
        <v>4.8</v>
      </c>
      <c r="I350" s="101">
        <v>4.8</v>
      </c>
      <c r="J350" s="100"/>
      <c r="K350" s="100">
        <v>5.77</v>
      </c>
      <c r="L350" s="100"/>
      <c r="M350" s="101">
        <v>6.21</v>
      </c>
      <c r="N350" s="101">
        <v>6.75</v>
      </c>
      <c r="P350" s="179">
        <v>6</v>
      </c>
      <c r="Q350" s="183">
        <v>4.59</v>
      </c>
      <c r="R350" s="100"/>
      <c r="S350" s="100"/>
      <c r="T350" s="183">
        <v>4.59</v>
      </c>
      <c r="U350" s="183">
        <v>4.59</v>
      </c>
      <c r="V350" s="100"/>
      <c r="W350" s="183">
        <v>4.91</v>
      </c>
      <c r="X350" s="101">
        <v>4.91</v>
      </c>
      <c r="Y350" s="101"/>
      <c r="Z350" s="101">
        <v>5.83</v>
      </c>
      <c r="AA350" s="100"/>
      <c r="AB350" s="101">
        <v>6.37</v>
      </c>
      <c r="AC350" s="101">
        <v>6.94</v>
      </c>
    </row>
    <row r="351" spans="1:29" x14ac:dyDescent="0.3">
      <c r="A351" s="179">
        <v>8</v>
      </c>
      <c r="B351" s="101">
        <v>5.53</v>
      </c>
      <c r="C351" s="101">
        <v>5.53</v>
      </c>
      <c r="D351" s="101">
        <v>5.53</v>
      </c>
      <c r="E351" s="100">
        <v>5.53</v>
      </c>
      <c r="F351" s="100">
        <v>5.53</v>
      </c>
      <c r="G351" s="100">
        <v>5.9</v>
      </c>
      <c r="H351" s="100">
        <v>5.9</v>
      </c>
      <c r="I351" s="101">
        <v>5.9</v>
      </c>
      <c r="J351" s="101">
        <v>7.08</v>
      </c>
      <c r="K351" s="100">
        <v>7.61</v>
      </c>
      <c r="L351" s="101">
        <v>8.26</v>
      </c>
      <c r="M351" s="101">
        <v>8.26</v>
      </c>
      <c r="N351" s="101">
        <v>8.26</v>
      </c>
      <c r="P351" s="179">
        <v>8</v>
      </c>
      <c r="Q351" s="183">
        <v>5.58</v>
      </c>
      <c r="R351" s="101">
        <v>5.58</v>
      </c>
      <c r="S351" s="101">
        <v>5.58</v>
      </c>
      <c r="T351" s="183">
        <v>5.58</v>
      </c>
      <c r="U351" s="183">
        <v>5.58</v>
      </c>
      <c r="V351" s="101">
        <v>5.98</v>
      </c>
      <c r="W351" s="183">
        <v>5.98</v>
      </c>
      <c r="X351" s="101">
        <v>6.01</v>
      </c>
      <c r="Y351" s="100">
        <v>7.09</v>
      </c>
      <c r="Z351" s="101">
        <v>7.75</v>
      </c>
      <c r="AA351" s="101">
        <v>8.44</v>
      </c>
      <c r="AB351" s="101">
        <v>8.44</v>
      </c>
      <c r="AC351" s="101">
        <v>8.44</v>
      </c>
    </row>
    <row r="352" spans="1:29" x14ac:dyDescent="0.3">
      <c r="A352" s="179">
        <v>10</v>
      </c>
      <c r="B352" s="101">
        <v>6.55</v>
      </c>
      <c r="C352" s="101">
        <v>6.55</v>
      </c>
      <c r="D352" s="101">
        <v>6.55</v>
      </c>
      <c r="E352" s="100">
        <v>6.55</v>
      </c>
      <c r="F352" s="100">
        <v>6.55</v>
      </c>
      <c r="G352" s="100">
        <v>6.98</v>
      </c>
      <c r="H352" s="100">
        <v>6.98</v>
      </c>
      <c r="I352" s="101">
        <v>8.3800000000000008</v>
      </c>
      <c r="J352" s="101">
        <v>9.01</v>
      </c>
      <c r="K352" s="100">
        <v>9.76</v>
      </c>
      <c r="L352" s="101">
        <v>10.67</v>
      </c>
      <c r="M352" s="101">
        <v>13.07</v>
      </c>
      <c r="N352" s="101">
        <v>10.67</v>
      </c>
      <c r="P352" s="179">
        <v>10</v>
      </c>
      <c r="Q352" s="183">
        <v>6.59</v>
      </c>
      <c r="R352" s="101">
        <v>6.59</v>
      </c>
      <c r="S352" s="101">
        <v>6.59</v>
      </c>
      <c r="T352" s="183">
        <v>6.59</v>
      </c>
      <c r="U352" s="183">
        <v>6.59</v>
      </c>
      <c r="V352" s="101">
        <v>7.06</v>
      </c>
      <c r="W352" s="183">
        <v>7.06</v>
      </c>
      <c r="X352" s="101">
        <v>8.48</v>
      </c>
      <c r="Y352" s="100">
        <v>9.15</v>
      </c>
      <c r="Z352" s="101">
        <v>9.9600000000000009</v>
      </c>
      <c r="AA352" s="101">
        <v>10.95</v>
      </c>
      <c r="AB352" s="101">
        <v>13.39</v>
      </c>
      <c r="AC352" s="101">
        <v>10.95</v>
      </c>
    </row>
    <row r="353" spans="1:29" x14ac:dyDescent="0.3">
      <c r="A353" s="179">
        <v>12</v>
      </c>
      <c r="B353" s="101">
        <v>7.58</v>
      </c>
      <c r="C353" s="101">
        <v>7.58</v>
      </c>
      <c r="D353" s="101">
        <v>7.58</v>
      </c>
      <c r="E353" s="100">
        <v>7.58</v>
      </c>
      <c r="F353" s="100">
        <v>8.08</v>
      </c>
      <c r="G353" s="100">
        <v>9.69</v>
      </c>
      <c r="H353" s="100">
        <v>8.08</v>
      </c>
      <c r="I353" s="101">
        <v>10.41</v>
      </c>
      <c r="J353" s="101">
        <v>11.27</v>
      </c>
      <c r="K353" s="100">
        <v>12.3</v>
      </c>
      <c r="L353" s="101">
        <v>15.07</v>
      </c>
      <c r="M353" s="101">
        <v>17.54</v>
      </c>
      <c r="N353" s="101">
        <v>12.3</v>
      </c>
      <c r="P353" s="179">
        <v>12</v>
      </c>
      <c r="Q353" s="183">
        <v>7.59</v>
      </c>
      <c r="R353" s="101">
        <v>7.59</v>
      </c>
      <c r="S353" s="101">
        <v>7.59</v>
      </c>
      <c r="T353" s="183">
        <v>7.59</v>
      </c>
      <c r="U353" s="183">
        <v>8.1300000000000008</v>
      </c>
      <c r="V353" s="101">
        <v>9.77</v>
      </c>
      <c r="W353" s="183">
        <v>8.1300000000000008</v>
      </c>
      <c r="X353" s="101">
        <v>10.53</v>
      </c>
      <c r="Y353" s="100">
        <v>11.48</v>
      </c>
      <c r="Z353" s="101">
        <v>12.61</v>
      </c>
      <c r="AA353" s="101">
        <v>15.42</v>
      </c>
      <c r="AB353" s="101">
        <v>18.12</v>
      </c>
      <c r="AC353" s="101">
        <v>12.61</v>
      </c>
    </row>
    <row r="354" spans="1:29" x14ac:dyDescent="0.3">
      <c r="A354" s="179">
        <v>14</v>
      </c>
      <c r="B354" s="101">
        <v>8.61</v>
      </c>
      <c r="C354" s="101">
        <v>8.61</v>
      </c>
      <c r="D354" s="101">
        <v>8.61</v>
      </c>
      <c r="E354" s="100">
        <v>8.61</v>
      </c>
      <c r="F354" s="100">
        <v>9.16</v>
      </c>
      <c r="G354" s="100">
        <v>11</v>
      </c>
      <c r="H354" s="100">
        <v>9.16</v>
      </c>
      <c r="I354" s="101">
        <v>11.8</v>
      </c>
      <c r="J354" s="101">
        <v>13.94</v>
      </c>
      <c r="K354" s="100">
        <v>17.079999999999998</v>
      </c>
      <c r="L354" s="101">
        <v>18.739999999999998</v>
      </c>
      <c r="M354" s="101">
        <v>20.96</v>
      </c>
      <c r="N354" s="100"/>
      <c r="P354" s="179">
        <v>14</v>
      </c>
      <c r="Q354" s="183">
        <v>8.6300000000000008</v>
      </c>
      <c r="R354" s="101">
        <v>8.6300000000000008</v>
      </c>
      <c r="S354" s="101">
        <v>8.6300000000000008</v>
      </c>
      <c r="T354" s="183">
        <v>8.6300000000000008</v>
      </c>
      <c r="U354" s="183">
        <v>9.24</v>
      </c>
      <c r="V354" s="101">
        <v>11.08</v>
      </c>
      <c r="W354" s="183">
        <v>9.24</v>
      </c>
      <c r="X354" s="101">
        <v>11.97</v>
      </c>
      <c r="Y354" s="100">
        <v>14.32</v>
      </c>
      <c r="Z354" s="101">
        <v>17.52</v>
      </c>
      <c r="AA354" s="101">
        <v>19.350000000000001</v>
      </c>
      <c r="AB354" s="101">
        <v>21.79</v>
      </c>
      <c r="AC354" s="100"/>
    </row>
    <row r="355" spans="1:29" x14ac:dyDescent="0.3">
      <c r="A355" s="179">
        <v>16</v>
      </c>
      <c r="B355" s="101">
        <v>9.5500000000000007</v>
      </c>
      <c r="C355" s="101">
        <v>9.5500000000000007</v>
      </c>
      <c r="D355" s="101">
        <v>9.5500000000000007</v>
      </c>
      <c r="E355" s="100">
        <v>9.5500000000000007</v>
      </c>
      <c r="F355" s="100">
        <v>10.15</v>
      </c>
      <c r="G355" s="100">
        <v>13.05</v>
      </c>
      <c r="H355" s="100">
        <v>10.15</v>
      </c>
      <c r="I355" s="101">
        <v>14.1</v>
      </c>
      <c r="J355" s="101">
        <v>18.82</v>
      </c>
      <c r="K355" s="100">
        <v>20.61</v>
      </c>
      <c r="L355" s="101">
        <v>23</v>
      </c>
      <c r="M355" s="101">
        <v>24.2</v>
      </c>
      <c r="N355" s="100"/>
      <c r="P355" s="179">
        <v>16</v>
      </c>
      <c r="Q355" s="183">
        <v>9.66</v>
      </c>
      <c r="R355" s="101">
        <v>9.66</v>
      </c>
      <c r="S355" s="101">
        <v>9.66</v>
      </c>
      <c r="T355" s="183">
        <v>9.66</v>
      </c>
      <c r="U355" s="183">
        <v>10.34</v>
      </c>
      <c r="V355" s="101">
        <v>13.4</v>
      </c>
      <c r="W355" s="183">
        <v>10.34</v>
      </c>
      <c r="X355" s="101">
        <v>14.59</v>
      </c>
      <c r="Y355" s="100">
        <v>19.600000000000001</v>
      </c>
      <c r="Z355" s="101">
        <v>21.65</v>
      </c>
      <c r="AA355" s="101">
        <v>24.37</v>
      </c>
      <c r="AB355" s="101">
        <v>25.73</v>
      </c>
      <c r="AC355" s="100"/>
    </row>
    <row r="356" spans="1:29" x14ac:dyDescent="0.3">
      <c r="A356" s="179">
        <v>18</v>
      </c>
      <c r="B356" s="101">
        <v>10.58</v>
      </c>
      <c r="C356" s="101">
        <v>10.58</v>
      </c>
      <c r="D356" s="101">
        <v>11.24</v>
      </c>
      <c r="E356" s="100">
        <v>10.58</v>
      </c>
      <c r="F356" s="100">
        <v>13.48</v>
      </c>
      <c r="G356" s="100">
        <v>14.44</v>
      </c>
      <c r="H356" s="100">
        <v>11.24</v>
      </c>
      <c r="I356" s="101">
        <v>16.989999999999998</v>
      </c>
      <c r="J356" s="101">
        <v>22.8</v>
      </c>
      <c r="K356" s="100">
        <v>24.12</v>
      </c>
      <c r="L356" s="101">
        <v>26.77</v>
      </c>
      <c r="M356" s="101">
        <v>29.74</v>
      </c>
      <c r="N356" s="100"/>
      <c r="P356" s="179">
        <v>18</v>
      </c>
      <c r="Q356" s="183">
        <v>10.7</v>
      </c>
      <c r="R356" s="101">
        <v>10.7</v>
      </c>
      <c r="S356" s="101">
        <v>11.45</v>
      </c>
      <c r="T356" s="183">
        <v>10.7</v>
      </c>
      <c r="U356" s="183">
        <v>13.59</v>
      </c>
      <c r="V356" s="101">
        <v>14.83</v>
      </c>
      <c r="W356" s="183">
        <v>11.45</v>
      </c>
      <c r="X356" s="101">
        <v>17.73</v>
      </c>
      <c r="Y356" s="100">
        <v>23.96</v>
      </c>
      <c r="Z356" s="101">
        <v>25.46</v>
      </c>
      <c r="AA356" s="101">
        <v>28.48</v>
      </c>
      <c r="AB356" s="101">
        <v>31.86</v>
      </c>
      <c r="AC356" s="100"/>
    </row>
    <row r="357" spans="1:29" x14ac:dyDescent="0.3">
      <c r="A357" s="179">
        <v>20</v>
      </c>
      <c r="B357" s="101">
        <v>11.61</v>
      </c>
      <c r="C357" s="101">
        <v>11.61</v>
      </c>
      <c r="D357" s="101">
        <v>12.33</v>
      </c>
      <c r="E357" s="100">
        <v>11.61</v>
      </c>
      <c r="F357" s="100">
        <v>14.8</v>
      </c>
      <c r="G357" s="100">
        <v>17.100000000000001</v>
      </c>
      <c r="H357" s="100">
        <v>12.33</v>
      </c>
      <c r="I357" s="101">
        <v>22.82</v>
      </c>
      <c r="J357" s="101">
        <v>26.43</v>
      </c>
      <c r="K357" s="100">
        <v>27.88</v>
      </c>
      <c r="L357" s="101">
        <v>30.76</v>
      </c>
      <c r="M357" s="101">
        <v>34.369999999999997</v>
      </c>
      <c r="N357" s="100"/>
      <c r="P357" s="179">
        <v>20</v>
      </c>
      <c r="Q357" s="183">
        <v>11.74</v>
      </c>
      <c r="R357" s="101">
        <v>11.74</v>
      </c>
      <c r="S357" s="101">
        <v>12.56</v>
      </c>
      <c r="T357" s="183">
        <v>11.74</v>
      </c>
      <c r="U357" s="183">
        <v>14.91</v>
      </c>
      <c r="V357" s="101">
        <v>17.71</v>
      </c>
      <c r="W357" s="183">
        <v>12.56</v>
      </c>
      <c r="X357" s="101">
        <v>23.78</v>
      </c>
      <c r="Y357" s="100">
        <v>27.9</v>
      </c>
      <c r="Z357" s="101">
        <v>29.55</v>
      </c>
      <c r="AA357" s="101">
        <v>32.840000000000003</v>
      </c>
      <c r="AB357" s="101">
        <v>36.96</v>
      </c>
      <c r="AC357" s="100"/>
    </row>
    <row r="358" spans="1:29" x14ac:dyDescent="0.3">
      <c r="A358" s="179">
        <v>24</v>
      </c>
      <c r="B358" s="101">
        <v>13.74</v>
      </c>
      <c r="C358" s="101">
        <v>13.74</v>
      </c>
      <c r="D358" s="101">
        <v>17.57</v>
      </c>
      <c r="E358" s="100">
        <v>13.74</v>
      </c>
      <c r="F358" s="100">
        <v>18.87</v>
      </c>
      <c r="G358" s="100">
        <v>22.33</v>
      </c>
      <c r="H358" s="100">
        <v>14.64</v>
      </c>
      <c r="I358" s="101">
        <v>30.04</v>
      </c>
      <c r="J358" s="101">
        <v>35.43</v>
      </c>
      <c r="K358" s="100">
        <v>39.47</v>
      </c>
      <c r="L358" s="101">
        <v>43.5</v>
      </c>
      <c r="M358" s="101">
        <v>45.3</v>
      </c>
      <c r="N358" s="100"/>
      <c r="P358" s="179">
        <v>24</v>
      </c>
      <c r="Q358" s="183">
        <v>14.31</v>
      </c>
      <c r="R358" s="101">
        <v>14.31</v>
      </c>
      <c r="S358" s="101">
        <v>18.18</v>
      </c>
      <c r="T358" s="183">
        <v>14.31</v>
      </c>
      <c r="U358" s="183">
        <v>19.850000000000001</v>
      </c>
      <c r="V358" s="101">
        <v>23.76</v>
      </c>
      <c r="W358" s="183">
        <v>15.32</v>
      </c>
      <c r="X358" s="101">
        <v>32.1</v>
      </c>
      <c r="Y358" s="100">
        <v>38.19</v>
      </c>
      <c r="Z358" s="101">
        <v>42.75</v>
      </c>
      <c r="AA358" s="101">
        <v>47.31</v>
      </c>
      <c r="AB358" s="101">
        <v>49.34</v>
      </c>
      <c r="AC358" s="100"/>
    </row>
    <row r="359" spans="1:29" x14ac:dyDescent="0.3">
      <c r="A359" s="179">
        <v>26</v>
      </c>
      <c r="B359" s="101"/>
      <c r="C359" s="101">
        <v>14.89</v>
      </c>
      <c r="D359" s="101">
        <v>19.03</v>
      </c>
      <c r="E359" s="100">
        <v>14.89</v>
      </c>
      <c r="F359" s="100">
        <v>20.440000000000001</v>
      </c>
      <c r="G359" s="100"/>
      <c r="H359" s="100">
        <v>15.86</v>
      </c>
      <c r="I359" s="100"/>
      <c r="J359" s="100"/>
      <c r="K359" s="100"/>
      <c r="L359" s="100"/>
      <c r="M359" s="100"/>
      <c r="N359" s="100"/>
      <c r="P359" s="179">
        <v>26</v>
      </c>
      <c r="Q359" s="183"/>
      <c r="R359" s="101">
        <v>15.92</v>
      </c>
      <c r="S359" s="101">
        <v>19.690000000000001</v>
      </c>
      <c r="T359" s="183">
        <v>15.5</v>
      </c>
      <c r="U359" s="183">
        <v>21.51</v>
      </c>
      <c r="V359" s="100"/>
      <c r="W359" s="183">
        <v>16.600000000000001</v>
      </c>
      <c r="X359" s="101"/>
      <c r="Y359" s="100"/>
      <c r="Z359" s="100"/>
      <c r="AA359" s="100"/>
      <c r="AB359" s="100"/>
      <c r="AC359" s="100"/>
    </row>
    <row r="360" spans="1:29" x14ac:dyDescent="0.3">
      <c r="A360" s="179">
        <v>28</v>
      </c>
      <c r="B360" s="101">
        <v>16.03</v>
      </c>
      <c r="C360" s="101">
        <v>16.03</v>
      </c>
      <c r="D360" s="101">
        <v>20.5</v>
      </c>
      <c r="E360" s="100">
        <v>16.03</v>
      </c>
      <c r="F360" s="100">
        <v>22.02</v>
      </c>
      <c r="G360" s="100"/>
      <c r="H360" s="100">
        <v>17.079999999999998</v>
      </c>
      <c r="I360" s="100"/>
      <c r="J360" s="100"/>
      <c r="K360" s="100"/>
      <c r="L360" s="100"/>
      <c r="M360" s="100"/>
      <c r="N360" s="100"/>
      <c r="P360" s="179">
        <v>28</v>
      </c>
      <c r="Q360" s="183">
        <v>17.53</v>
      </c>
      <c r="R360" s="101">
        <v>17.53</v>
      </c>
      <c r="S360" s="101">
        <v>21.21</v>
      </c>
      <c r="T360" s="183">
        <v>16.690000000000001</v>
      </c>
      <c r="U360" s="183">
        <v>23.16</v>
      </c>
      <c r="V360" s="100"/>
      <c r="W360" s="183">
        <v>17.87</v>
      </c>
      <c r="X360" s="101"/>
      <c r="Y360" s="100"/>
      <c r="Z360" s="100"/>
      <c r="AA360" s="100"/>
      <c r="AB360" s="100"/>
      <c r="AC360" s="100"/>
    </row>
    <row r="361" spans="1:29" x14ac:dyDescent="0.3">
      <c r="A361" s="179">
        <v>30</v>
      </c>
      <c r="B361" s="101">
        <v>18.350000000000001</v>
      </c>
      <c r="C361" s="101">
        <v>18.350000000000001</v>
      </c>
      <c r="D361" s="101">
        <v>22.02</v>
      </c>
      <c r="E361" s="100">
        <v>17.22</v>
      </c>
      <c r="F361" s="100">
        <v>23.65</v>
      </c>
      <c r="G361" s="100"/>
      <c r="H361" s="100">
        <v>18.350000000000001</v>
      </c>
      <c r="I361" s="100"/>
      <c r="J361" s="100"/>
      <c r="K361" s="100"/>
      <c r="L361" s="100"/>
      <c r="M361" s="100"/>
      <c r="N361" s="100"/>
      <c r="P361" s="179">
        <v>30</v>
      </c>
      <c r="Q361" s="183">
        <v>19.14</v>
      </c>
      <c r="R361" s="101">
        <v>19.14</v>
      </c>
      <c r="S361" s="101">
        <v>22.72</v>
      </c>
      <c r="T361" s="183">
        <v>17.88</v>
      </c>
      <c r="U361" s="183">
        <v>24.81</v>
      </c>
      <c r="V361" s="100"/>
      <c r="W361" s="183">
        <v>19.14</v>
      </c>
      <c r="X361" s="101"/>
      <c r="Y361" s="100"/>
      <c r="Z361" s="100"/>
      <c r="AA361" s="100"/>
      <c r="AB361" s="100"/>
      <c r="AC361" s="100"/>
    </row>
    <row r="362" spans="1:29" x14ac:dyDescent="0.3">
      <c r="A362" s="179">
        <v>32</v>
      </c>
      <c r="B362" s="101">
        <v>19.57</v>
      </c>
      <c r="C362" s="101">
        <v>19.57</v>
      </c>
      <c r="D362" s="101">
        <v>23.49</v>
      </c>
      <c r="E362" s="100">
        <v>18.37</v>
      </c>
      <c r="F362" s="100">
        <v>25.23</v>
      </c>
      <c r="G362" s="100"/>
      <c r="H362" s="100">
        <v>19.57</v>
      </c>
      <c r="I362" s="100"/>
      <c r="J362" s="100"/>
      <c r="K362" s="100"/>
      <c r="L362" s="100"/>
      <c r="M362" s="100"/>
      <c r="N362" s="100"/>
      <c r="P362" s="179">
        <v>32</v>
      </c>
      <c r="Q362" s="183">
        <v>20.420000000000002</v>
      </c>
      <c r="R362" s="101">
        <v>20.420000000000002</v>
      </c>
      <c r="S362" s="101">
        <v>24.23</v>
      </c>
      <c r="T362" s="183">
        <v>19.07</v>
      </c>
      <c r="U362" s="183">
        <v>26.46</v>
      </c>
      <c r="V362" s="100"/>
      <c r="W362" s="183">
        <v>20.420000000000002</v>
      </c>
      <c r="X362" s="101"/>
      <c r="Y362" s="100"/>
      <c r="Z362" s="100"/>
      <c r="AA362" s="100"/>
      <c r="AB362" s="100"/>
      <c r="AC362" s="100"/>
    </row>
    <row r="363" spans="1:29" x14ac:dyDescent="0.3">
      <c r="A363" s="179">
        <v>36</v>
      </c>
      <c r="B363" s="100"/>
      <c r="C363" s="101">
        <v>22.07</v>
      </c>
      <c r="D363" s="101">
        <v>26.48</v>
      </c>
      <c r="E363" s="100">
        <v>20.71</v>
      </c>
      <c r="F363" s="100">
        <v>28.45</v>
      </c>
      <c r="G363" s="100"/>
      <c r="H363" s="100">
        <v>22.07</v>
      </c>
      <c r="I363" s="100"/>
      <c r="J363" s="100"/>
      <c r="K363" s="100"/>
      <c r="L363" s="100"/>
      <c r="M363" s="100"/>
      <c r="N363" s="100"/>
      <c r="P363" s="179">
        <v>36</v>
      </c>
      <c r="Q363" s="100"/>
      <c r="R363" s="101">
        <v>22.96</v>
      </c>
      <c r="S363" s="101">
        <v>27.25</v>
      </c>
      <c r="T363" s="183">
        <v>21.44</v>
      </c>
      <c r="U363" s="183">
        <v>29.76</v>
      </c>
      <c r="V363" s="100"/>
      <c r="W363" s="183">
        <v>22.96</v>
      </c>
      <c r="X363" s="101"/>
      <c r="Y363" s="100"/>
      <c r="Z363" s="100"/>
      <c r="AA363" s="100"/>
      <c r="AB363" s="100"/>
      <c r="AC363" s="100"/>
    </row>
    <row r="364" spans="1:29" x14ac:dyDescent="0.3">
      <c r="A364" s="179">
        <v>42</v>
      </c>
      <c r="B364" s="100"/>
      <c r="C364" s="100"/>
      <c r="D364" s="100"/>
      <c r="E364" s="100">
        <v>24.19</v>
      </c>
      <c r="F364" s="100"/>
      <c r="G364" s="100"/>
      <c r="H364" s="100"/>
      <c r="I364" s="100"/>
      <c r="J364" s="100"/>
      <c r="K364" s="100"/>
      <c r="L364" s="100"/>
      <c r="M364" s="100"/>
      <c r="N364" s="100"/>
      <c r="P364" s="179">
        <v>42</v>
      </c>
      <c r="Q364" s="100"/>
      <c r="R364" s="100"/>
      <c r="S364" s="100"/>
      <c r="T364" s="183">
        <v>25.01</v>
      </c>
      <c r="U364" s="100"/>
      <c r="V364" s="100"/>
      <c r="W364" s="100"/>
      <c r="X364" s="100"/>
      <c r="Y364" s="100"/>
      <c r="Z364" s="100"/>
      <c r="AA364" s="100"/>
      <c r="AB364" s="100"/>
      <c r="AC364" s="100"/>
    </row>
    <row r="365" spans="1:29" x14ac:dyDescent="0.3">
      <c r="A365" s="179">
        <v>48</v>
      </c>
      <c r="B365" s="100"/>
      <c r="C365" s="100"/>
      <c r="D365" s="100"/>
      <c r="E365" s="100">
        <v>27.68</v>
      </c>
      <c r="F365" s="100"/>
      <c r="G365" s="100"/>
      <c r="H365" s="100"/>
      <c r="I365" s="100"/>
      <c r="J365" s="100"/>
      <c r="K365" s="100"/>
      <c r="L365" s="100"/>
      <c r="M365" s="100"/>
      <c r="N365" s="100"/>
      <c r="P365" s="179">
        <v>48</v>
      </c>
      <c r="Q365" s="100"/>
      <c r="R365" s="100"/>
      <c r="S365" s="100"/>
      <c r="T365" s="183">
        <v>28.58</v>
      </c>
      <c r="U365" s="100"/>
      <c r="V365" s="100"/>
      <c r="W365" s="100"/>
      <c r="X365" s="100"/>
      <c r="Y365" s="100"/>
      <c r="Z365" s="100"/>
      <c r="AA365" s="100"/>
      <c r="AB365" s="100"/>
      <c r="AC365" s="100"/>
    </row>
    <row r="366" spans="1:29" x14ac:dyDescent="0.3">
      <c r="A366" s="83"/>
      <c r="B366" s="84"/>
      <c r="C366" s="84"/>
      <c r="D366" s="84"/>
      <c r="E366" s="84"/>
      <c r="F366" s="84"/>
      <c r="G366" s="84"/>
      <c r="H366" s="84"/>
      <c r="I366" s="84"/>
      <c r="J366" s="84"/>
      <c r="K366" s="84"/>
      <c r="L366" s="84"/>
      <c r="M366" s="84"/>
      <c r="N366" s="84"/>
      <c r="P366" s="83"/>
      <c r="Q366" s="84"/>
      <c r="R366" s="84"/>
      <c r="S366" s="84"/>
      <c r="T366" s="84"/>
      <c r="U366" s="84"/>
      <c r="V366" s="84"/>
      <c r="W366" s="84"/>
      <c r="X366" s="84"/>
      <c r="Y366" s="84"/>
      <c r="Z366" s="84"/>
      <c r="AA366" s="84"/>
      <c r="AB366" s="84"/>
      <c r="AC366" s="84"/>
    </row>
    <row r="367" spans="1:29" x14ac:dyDescent="0.3">
      <c r="A367" s="85" t="s">
        <v>768</v>
      </c>
      <c r="B367" s="100" t="s">
        <v>704</v>
      </c>
      <c r="C367" s="100" t="s">
        <v>705</v>
      </c>
      <c r="D367" s="100" t="s">
        <v>706</v>
      </c>
      <c r="E367" s="100" t="s">
        <v>707</v>
      </c>
      <c r="F367" s="100" t="s">
        <v>708</v>
      </c>
      <c r="G367" s="100" t="s">
        <v>709</v>
      </c>
      <c r="H367" s="100" t="s">
        <v>710</v>
      </c>
      <c r="I367" s="100" t="s">
        <v>711</v>
      </c>
      <c r="J367" s="100" t="s">
        <v>712</v>
      </c>
      <c r="K367" s="100" t="s">
        <v>713</v>
      </c>
      <c r="L367" s="100" t="s">
        <v>714</v>
      </c>
      <c r="M367" s="100" t="s">
        <v>715</v>
      </c>
      <c r="N367" s="100" t="s">
        <v>716</v>
      </c>
      <c r="P367" s="86" t="s">
        <v>769</v>
      </c>
      <c r="Q367" s="183" t="s">
        <v>704</v>
      </c>
      <c r="R367" s="183" t="s">
        <v>705</v>
      </c>
      <c r="S367" s="183" t="s">
        <v>706</v>
      </c>
      <c r="T367" s="183" t="s">
        <v>707</v>
      </c>
      <c r="U367" s="183" t="s">
        <v>708</v>
      </c>
      <c r="V367" s="183" t="s">
        <v>709</v>
      </c>
      <c r="W367" s="183" t="s">
        <v>710</v>
      </c>
      <c r="X367" s="183" t="s">
        <v>711</v>
      </c>
      <c r="Y367" s="183" t="s">
        <v>712</v>
      </c>
      <c r="Z367" s="183" t="s">
        <v>713</v>
      </c>
      <c r="AA367" s="183" t="s">
        <v>714</v>
      </c>
      <c r="AB367" s="183" t="s">
        <v>715</v>
      </c>
      <c r="AC367" s="183" t="s">
        <v>716</v>
      </c>
    </row>
    <row r="368" spans="1:29" x14ac:dyDescent="0.3">
      <c r="A368" s="179" t="s">
        <v>718</v>
      </c>
      <c r="B368" s="101">
        <v>1.54</v>
      </c>
      <c r="C368" s="100"/>
      <c r="D368" s="100"/>
      <c r="E368" s="100">
        <v>1.54</v>
      </c>
      <c r="F368" s="100">
        <v>1.54</v>
      </c>
      <c r="G368" s="100"/>
      <c r="H368" s="100">
        <v>1.54</v>
      </c>
      <c r="I368" s="101">
        <v>1.54</v>
      </c>
      <c r="J368" s="101"/>
      <c r="K368" s="100"/>
      <c r="L368" s="101"/>
      <c r="M368" s="101">
        <v>1.54</v>
      </c>
      <c r="N368" s="101">
        <v>1.54</v>
      </c>
      <c r="P368" s="179" t="s">
        <v>718</v>
      </c>
      <c r="Q368" s="183">
        <v>1.07</v>
      </c>
      <c r="R368" s="100"/>
      <c r="S368" s="100"/>
      <c r="T368" s="183">
        <v>1.07</v>
      </c>
      <c r="U368" s="183">
        <v>1.07</v>
      </c>
      <c r="V368" s="100"/>
      <c r="W368" s="183">
        <v>1.07</v>
      </c>
      <c r="X368" s="101">
        <v>1.07</v>
      </c>
      <c r="Y368" s="100"/>
      <c r="Z368" s="100"/>
      <c r="AA368" s="100"/>
      <c r="AB368" s="101">
        <v>1.07</v>
      </c>
      <c r="AC368" s="101">
        <v>1.07</v>
      </c>
    </row>
    <row r="369" spans="1:29" x14ac:dyDescent="0.3">
      <c r="A369" s="179" t="s">
        <v>719</v>
      </c>
      <c r="B369" s="101">
        <v>2.1</v>
      </c>
      <c r="C369" s="100"/>
      <c r="D369" s="100"/>
      <c r="E369" s="100">
        <v>2.1</v>
      </c>
      <c r="F369" s="100">
        <v>2.1</v>
      </c>
      <c r="G369" s="100"/>
      <c r="H369" s="100">
        <v>2.1</v>
      </c>
      <c r="I369" s="101">
        <v>2.1</v>
      </c>
      <c r="J369" s="101"/>
      <c r="K369" s="100"/>
      <c r="L369" s="101"/>
      <c r="M369" s="101">
        <v>2.1</v>
      </c>
      <c r="N369" s="101">
        <v>2.1</v>
      </c>
      <c r="P369" s="179" t="s">
        <v>719</v>
      </c>
      <c r="Q369" s="183">
        <v>1.5</v>
      </c>
      <c r="R369" s="100"/>
      <c r="S369" s="100"/>
      <c r="T369" s="183">
        <v>1.5</v>
      </c>
      <c r="U369" s="183">
        <v>1.5</v>
      </c>
      <c r="V369" s="100"/>
      <c r="W369" s="183">
        <v>1.5</v>
      </c>
      <c r="X369" s="101">
        <v>1.5</v>
      </c>
      <c r="Y369" s="100"/>
      <c r="Z369" s="100"/>
      <c r="AA369" s="100"/>
      <c r="AB369" s="101">
        <v>1.5</v>
      </c>
      <c r="AC369" s="101">
        <v>1.5</v>
      </c>
    </row>
    <row r="370" spans="1:29" x14ac:dyDescent="0.3">
      <c r="A370" s="179">
        <v>1</v>
      </c>
      <c r="B370" s="101">
        <v>2.69</v>
      </c>
      <c r="C370" s="100"/>
      <c r="D370" s="100"/>
      <c r="E370" s="100">
        <v>2.69</v>
      </c>
      <c r="F370" s="100">
        <v>2.69</v>
      </c>
      <c r="G370" s="100"/>
      <c r="H370" s="100">
        <v>2.69</v>
      </c>
      <c r="I370" s="101">
        <v>2.69</v>
      </c>
      <c r="J370" s="101"/>
      <c r="K370" s="100"/>
      <c r="L370" s="101"/>
      <c r="M370" s="101">
        <v>2.69</v>
      </c>
      <c r="N370" s="101">
        <v>2.69</v>
      </c>
      <c r="P370" s="179">
        <v>1</v>
      </c>
      <c r="Q370" s="183">
        <v>1.93</v>
      </c>
      <c r="R370" s="100"/>
      <c r="S370" s="100"/>
      <c r="T370" s="183">
        <v>1.93</v>
      </c>
      <c r="U370" s="183">
        <v>1.93</v>
      </c>
      <c r="V370" s="100"/>
      <c r="W370" s="183">
        <v>1.93</v>
      </c>
      <c r="X370" s="101">
        <v>1.93</v>
      </c>
      <c r="Y370" s="100"/>
      <c r="Z370" s="100"/>
      <c r="AA370" s="100"/>
      <c r="AB370" s="101">
        <v>1.93</v>
      </c>
      <c r="AC370" s="101">
        <v>1.93</v>
      </c>
    </row>
    <row r="371" spans="1:29" x14ac:dyDescent="0.3">
      <c r="A371" s="179" t="s">
        <v>720</v>
      </c>
      <c r="B371" s="101">
        <v>3.5</v>
      </c>
      <c r="C371" s="100"/>
      <c r="D371" s="100"/>
      <c r="E371" s="100">
        <v>3.5</v>
      </c>
      <c r="F371" s="100">
        <v>3.5</v>
      </c>
      <c r="G371" s="100"/>
      <c r="H371" s="100">
        <v>3.5</v>
      </c>
      <c r="I371" s="101">
        <v>3.5</v>
      </c>
      <c r="J371" s="101"/>
      <c r="K371" s="100"/>
      <c r="L371" s="101"/>
      <c r="M371" s="101">
        <v>3.5</v>
      </c>
      <c r="N371" s="101">
        <v>3.79</v>
      </c>
      <c r="P371" s="179" t="s">
        <v>720</v>
      </c>
      <c r="Q371" s="183">
        <v>2.36</v>
      </c>
      <c r="R371" s="100"/>
      <c r="S371" s="100"/>
      <c r="T371" s="183">
        <v>2.36</v>
      </c>
      <c r="U371" s="183">
        <v>2.36</v>
      </c>
      <c r="V371" s="100"/>
      <c r="W371" s="183">
        <v>2.36</v>
      </c>
      <c r="X371" s="101">
        <v>2.36</v>
      </c>
      <c r="Y371" s="100"/>
      <c r="Z371" s="100"/>
      <c r="AA371" s="100"/>
      <c r="AB371" s="101">
        <v>2.36</v>
      </c>
      <c r="AC371" s="101">
        <v>2.56</v>
      </c>
    </row>
    <row r="372" spans="1:29" x14ac:dyDescent="0.3">
      <c r="A372" s="179">
        <v>2</v>
      </c>
      <c r="B372" s="101">
        <v>4.33</v>
      </c>
      <c r="C372" s="100"/>
      <c r="D372" s="100"/>
      <c r="E372" s="100">
        <v>4.33</v>
      </c>
      <c r="F372" s="100">
        <v>4.33</v>
      </c>
      <c r="G372" s="100"/>
      <c r="H372" s="100">
        <v>4.33</v>
      </c>
      <c r="I372" s="101">
        <v>4.33</v>
      </c>
      <c r="J372" s="101"/>
      <c r="K372" s="100"/>
      <c r="L372" s="101"/>
      <c r="M372" s="101">
        <v>4.33</v>
      </c>
      <c r="N372" s="101">
        <v>4.68</v>
      </c>
      <c r="P372" s="179">
        <v>2</v>
      </c>
      <c r="Q372" s="183">
        <v>2.78</v>
      </c>
      <c r="R372" s="100"/>
      <c r="S372" s="100"/>
      <c r="T372" s="183">
        <v>2.78</v>
      </c>
      <c r="U372" s="183">
        <v>2.78</v>
      </c>
      <c r="V372" s="100"/>
      <c r="W372" s="183">
        <v>2.78</v>
      </c>
      <c r="X372" s="101">
        <v>2.78</v>
      </c>
      <c r="Y372" s="100"/>
      <c r="Z372" s="100"/>
      <c r="AA372" s="100"/>
      <c r="AB372" s="101">
        <v>2.78</v>
      </c>
      <c r="AC372" s="101">
        <v>3.02</v>
      </c>
    </row>
    <row r="373" spans="1:29" x14ac:dyDescent="0.3">
      <c r="A373" s="179" t="s">
        <v>721</v>
      </c>
      <c r="B373" s="101">
        <v>4.9000000000000004</v>
      </c>
      <c r="C373" s="100"/>
      <c r="D373" s="100"/>
      <c r="E373" s="100">
        <v>4.9000000000000004</v>
      </c>
      <c r="F373" s="100">
        <v>4.9000000000000004</v>
      </c>
      <c r="G373" s="100"/>
      <c r="H373" s="100">
        <v>4.9000000000000004</v>
      </c>
      <c r="I373" s="101">
        <v>4.9000000000000004</v>
      </c>
      <c r="J373" s="101"/>
      <c r="K373" s="100"/>
      <c r="L373" s="101"/>
      <c r="M373" s="101">
        <v>4.9000000000000004</v>
      </c>
      <c r="N373" s="101">
        <v>6.35</v>
      </c>
      <c r="P373" s="179" t="s">
        <v>721</v>
      </c>
      <c r="Q373" s="183">
        <v>3.17</v>
      </c>
      <c r="R373" s="100"/>
      <c r="S373" s="100"/>
      <c r="T373" s="183">
        <v>3.17</v>
      </c>
      <c r="U373" s="183">
        <v>3.17</v>
      </c>
      <c r="V373" s="100"/>
      <c r="W373" s="183">
        <v>3.17</v>
      </c>
      <c r="X373" s="101">
        <v>3.17</v>
      </c>
      <c r="Y373" s="100"/>
      <c r="Z373" s="100"/>
      <c r="AA373" s="100"/>
      <c r="AB373" s="101">
        <v>3.17</v>
      </c>
      <c r="AC373" s="101">
        <v>4.0599999999999996</v>
      </c>
    </row>
    <row r="374" spans="1:29" x14ac:dyDescent="0.3">
      <c r="A374" s="179">
        <v>3</v>
      </c>
      <c r="B374" s="101">
        <v>5.47</v>
      </c>
      <c r="C374" s="100"/>
      <c r="D374" s="100"/>
      <c r="E374" s="100">
        <v>5.47</v>
      </c>
      <c r="F374" s="100">
        <v>5.47</v>
      </c>
      <c r="G374" s="100"/>
      <c r="H374" s="100">
        <v>5.47</v>
      </c>
      <c r="I374" s="101">
        <v>5.47</v>
      </c>
      <c r="J374" s="101"/>
      <c r="K374" s="100"/>
      <c r="L374" s="101"/>
      <c r="M374" s="101">
        <v>5.89</v>
      </c>
      <c r="N374" s="101">
        <v>7.07</v>
      </c>
      <c r="P374" s="179">
        <v>3</v>
      </c>
      <c r="Q374" s="183">
        <v>3.54</v>
      </c>
      <c r="R374" s="100"/>
      <c r="S374" s="100"/>
      <c r="T374" s="183">
        <v>3.54</v>
      </c>
      <c r="U374" s="183">
        <v>3.54</v>
      </c>
      <c r="V374" s="100"/>
      <c r="W374" s="183">
        <v>3.54</v>
      </c>
      <c r="X374" s="101">
        <v>3.54</v>
      </c>
      <c r="Y374" s="100"/>
      <c r="Z374" s="100"/>
      <c r="AA374" s="100"/>
      <c r="AB374" s="101">
        <v>3.82</v>
      </c>
      <c r="AC374" s="101">
        <v>4.53</v>
      </c>
    </row>
    <row r="375" spans="1:29" x14ac:dyDescent="0.3">
      <c r="A375" s="179">
        <v>4</v>
      </c>
      <c r="B375" s="101">
        <v>6.62</v>
      </c>
      <c r="C375" s="100"/>
      <c r="D375" s="100"/>
      <c r="E375" s="100">
        <v>6.62</v>
      </c>
      <c r="F375" s="100">
        <v>6.62</v>
      </c>
      <c r="G375" s="100"/>
      <c r="H375" s="100">
        <v>6.62</v>
      </c>
      <c r="I375" s="101">
        <v>6.62</v>
      </c>
      <c r="J375" s="101"/>
      <c r="K375" s="100">
        <v>7.11</v>
      </c>
      <c r="L375" s="101"/>
      <c r="M375" s="101">
        <v>8.5299999999999994</v>
      </c>
      <c r="N375" s="101">
        <v>9.25</v>
      </c>
      <c r="P375" s="179">
        <v>4</v>
      </c>
      <c r="Q375" s="183">
        <v>4.3</v>
      </c>
      <c r="R375" s="100"/>
      <c r="S375" s="100"/>
      <c r="T375" s="183">
        <v>4.3</v>
      </c>
      <c r="U375" s="183">
        <v>4.3</v>
      </c>
      <c r="V375" s="100"/>
      <c r="W375" s="183">
        <v>4.3</v>
      </c>
      <c r="X375" s="101">
        <v>4.3</v>
      </c>
      <c r="Y375" s="100"/>
      <c r="Z375" s="101">
        <v>4.62</v>
      </c>
      <c r="AA375" s="100"/>
      <c r="AB375" s="101">
        <v>5.47</v>
      </c>
      <c r="AC375" s="101">
        <v>6</v>
      </c>
    </row>
    <row r="376" spans="1:29" x14ac:dyDescent="0.3">
      <c r="A376" s="179">
        <v>6</v>
      </c>
      <c r="B376" s="101">
        <v>8.56</v>
      </c>
      <c r="C376" s="100"/>
      <c r="D376" s="100"/>
      <c r="E376" s="100">
        <v>8.56</v>
      </c>
      <c r="F376" s="100">
        <v>8.56</v>
      </c>
      <c r="G376" s="100"/>
      <c r="H376" s="100">
        <v>9.18</v>
      </c>
      <c r="I376" s="101">
        <v>9.18</v>
      </c>
      <c r="J376" s="100"/>
      <c r="K376" s="100">
        <v>11.01</v>
      </c>
      <c r="L376" s="100"/>
      <c r="M376" s="101">
        <v>11.91</v>
      </c>
      <c r="N376" s="101">
        <v>12.99</v>
      </c>
      <c r="P376" s="179">
        <v>6</v>
      </c>
      <c r="Q376" s="183">
        <v>5.57</v>
      </c>
      <c r="R376" s="100"/>
      <c r="S376" s="100"/>
      <c r="T376" s="183">
        <v>5.57</v>
      </c>
      <c r="U376" s="183">
        <v>5.57</v>
      </c>
      <c r="V376" s="100"/>
      <c r="W376" s="183">
        <v>5.97</v>
      </c>
      <c r="X376" s="101">
        <v>5.97</v>
      </c>
      <c r="Y376" s="101"/>
      <c r="Z376" s="101">
        <v>7.08</v>
      </c>
      <c r="AA376" s="100"/>
      <c r="AB376" s="101">
        <v>7.75</v>
      </c>
      <c r="AC376" s="101">
        <v>8.4600000000000009</v>
      </c>
    </row>
    <row r="377" spans="1:29" x14ac:dyDescent="0.3">
      <c r="A377" s="179">
        <v>8</v>
      </c>
      <c r="B377" s="101">
        <v>10.51</v>
      </c>
      <c r="C377" s="101">
        <v>10.51</v>
      </c>
      <c r="D377" s="101">
        <v>10.51</v>
      </c>
      <c r="E377" s="100">
        <v>10.51</v>
      </c>
      <c r="F377" s="100">
        <v>10.51</v>
      </c>
      <c r="G377" s="100">
        <v>11.25</v>
      </c>
      <c r="H377" s="100">
        <v>11.25</v>
      </c>
      <c r="I377" s="101">
        <v>11.25</v>
      </c>
      <c r="J377" s="101">
        <v>13.5</v>
      </c>
      <c r="K377" s="100">
        <v>14.57</v>
      </c>
      <c r="L377" s="101">
        <v>15.87</v>
      </c>
      <c r="M377" s="101">
        <v>15.87</v>
      </c>
      <c r="N377" s="101">
        <v>15.87</v>
      </c>
      <c r="P377" s="179">
        <v>8</v>
      </c>
      <c r="Q377" s="183">
        <v>6.82</v>
      </c>
      <c r="R377" s="101">
        <v>6.82</v>
      </c>
      <c r="S377" s="101">
        <v>6.82</v>
      </c>
      <c r="T377" s="183">
        <v>6.82</v>
      </c>
      <c r="U377" s="183">
        <v>6.82</v>
      </c>
      <c r="V377" s="101">
        <v>7.31</v>
      </c>
      <c r="W377" s="183">
        <v>7.31</v>
      </c>
      <c r="X377" s="101">
        <v>7.31</v>
      </c>
      <c r="Y377" s="100">
        <v>8.67</v>
      </c>
      <c r="Z377" s="101">
        <v>9.48</v>
      </c>
      <c r="AA377" s="101">
        <v>10.34</v>
      </c>
      <c r="AB377" s="101">
        <v>10.34</v>
      </c>
      <c r="AC377" s="101">
        <v>10.34</v>
      </c>
    </row>
    <row r="378" spans="1:29" x14ac:dyDescent="0.3">
      <c r="A378" s="179">
        <v>10</v>
      </c>
      <c r="B378" s="101">
        <v>12.46</v>
      </c>
      <c r="C378" s="101">
        <v>12.46</v>
      </c>
      <c r="D378" s="101">
        <v>12.46</v>
      </c>
      <c r="E378" s="100">
        <v>12.46</v>
      </c>
      <c r="F378" s="100">
        <v>12.46</v>
      </c>
      <c r="G378" s="100">
        <v>13.32</v>
      </c>
      <c r="H378" s="100">
        <v>13.32</v>
      </c>
      <c r="I378" s="101">
        <v>15.98</v>
      </c>
      <c r="J378" s="101">
        <v>17.239999999999998</v>
      </c>
      <c r="K378" s="100">
        <v>18.75</v>
      </c>
      <c r="L378" s="101">
        <v>20.56</v>
      </c>
      <c r="M378" s="101">
        <v>25.16</v>
      </c>
      <c r="N378" s="101">
        <v>20.56</v>
      </c>
      <c r="P378" s="179">
        <v>10</v>
      </c>
      <c r="Q378" s="183">
        <v>8.09</v>
      </c>
      <c r="R378" s="101">
        <v>8.09</v>
      </c>
      <c r="S378" s="101">
        <v>8.09</v>
      </c>
      <c r="T378" s="183">
        <v>8.09</v>
      </c>
      <c r="U378" s="183">
        <v>8.09</v>
      </c>
      <c r="V378" s="101">
        <v>8.66</v>
      </c>
      <c r="W378" s="183">
        <v>8.66</v>
      </c>
      <c r="X378" s="101">
        <v>10.28</v>
      </c>
      <c r="Y378" s="100">
        <v>11.24</v>
      </c>
      <c r="Z378" s="101">
        <v>12.25</v>
      </c>
      <c r="AA378" s="101">
        <v>13.47</v>
      </c>
      <c r="AB378" s="101">
        <v>16.47</v>
      </c>
      <c r="AC378" s="101">
        <v>13.47</v>
      </c>
    </row>
    <row r="379" spans="1:29" x14ac:dyDescent="0.3">
      <c r="A379" s="179">
        <v>12</v>
      </c>
      <c r="B379" s="101">
        <v>14.38</v>
      </c>
      <c r="C379" s="101">
        <v>14.38</v>
      </c>
      <c r="D379" s="101">
        <v>14.38</v>
      </c>
      <c r="E379" s="100">
        <v>14.38</v>
      </c>
      <c r="F379" s="100">
        <v>15.36</v>
      </c>
      <c r="G379" s="100">
        <v>18.43</v>
      </c>
      <c r="H379" s="100">
        <v>15.36</v>
      </c>
      <c r="I379" s="101">
        <v>19.850000000000001</v>
      </c>
      <c r="J379" s="101">
        <v>21.56</v>
      </c>
      <c r="K379" s="100">
        <v>23.62</v>
      </c>
      <c r="L379" s="101">
        <v>28.91</v>
      </c>
      <c r="M379" s="101">
        <v>33.799999999999997</v>
      </c>
      <c r="N379" s="101">
        <v>23.62</v>
      </c>
      <c r="P379" s="179">
        <v>12</v>
      </c>
      <c r="Q379" s="183">
        <v>9.33</v>
      </c>
      <c r="R379" s="101">
        <v>9.33</v>
      </c>
      <c r="S379" s="101">
        <v>9.33</v>
      </c>
      <c r="T379" s="183">
        <v>9.33</v>
      </c>
      <c r="U379" s="183">
        <v>10</v>
      </c>
      <c r="V379" s="101">
        <v>11.86</v>
      </c>
      <c r="W379" s="183">
        <v>10</v>
      </c>
      <c r="X379" s="101">
        <v>12.96</v>
      </c>
      <c r="Y379" s="100">
        <v>14.12</v>
      </c>
      <c r="Z379" s="101">
        <v>15.52</v>
      </c>
      <c r="AA379" s="101">
        <v>18.989999999999998</v>
      </c>
      <c r="AB379" s="101">
        <v>22.31</v>
      </c>
      <c r="AC379" s="101">
        <v>15.52</v>
      </c>
    </row>
    <row r="380" spans="1:29" x14ac:dyDescent="0.3">
      <c r="A380" s="179">
        <v>14</v>
      </c>
      <c r="B380" s="101">
        <v>16.350000000000001</v>
      </c>
      <c r="C380" s="101">
        <v>16.350000000000001</v>
      </c>
      <c r="D380" s="101">
        <v>16.350000000000001</v>
      </c>
      <c r="E380" s="100">
        <v>16.350000000000001</v>
      </c>
      <c r="F380" s="100">
        <v>17.46</v>
      </c>
      <c r="G380" s="100">
        <v>20.95</v>
      </c>
      <c r="H380" s="100">
        <v>17.46</v>
      </c>
      <c r="I380" s="101">
        <v>22.56</v>
      </c>
      <c r="J380" s="101">
        <v>26.84</v>
      </c>
      <c r="K380" s="100">
        <v>32.86</v>
      </c>
      <c r="L380" s="101">
        <v>36.19</v>
      </c>
      <c r="M380" s="101">
        <v>40.630000000000003</v>
      </c>
      <c r="N380" s="100"/>
      <c r="P380" s="179">
        <v>14</v>
      </c>
      <c r="Q380" s="183">
        <v>10.63</v>
      </c>
      <c r="R380" s="101">
        <v>10.63</v>
      </c>
      <c r="S380" s="101">
        <v>10.63</v>
      </c>
      <c r="T380" s="183">
        <v>10.63</v>
      </c>
      <c r="U380" s="183">
        <v>11.39</v>
      </c>
      <c r="V380" s="101">
        <v>13.52</v>
      </c>
      <c r="W380" s="183">
        <v>11.39</v>
      </c>
      <c r="X380" s="101">
        <v>14.78</v>
      </c>
      <c r="Y380" s="100">
        <v>17.7</v>
      </c>
      <c r="Z380" s="101">
        <v>21.65</v>
      </c>
      <c r="AA380" s="101">
        <v>23.93</v>
      </c>
      <c r="AB380" s="101">
        <v>26.98</v>
      </c>
      <c r="AC380" s="100"/>
    </row>
    <row r="381" spans="1:29" x14ac:dyDescent="0.3">
      <c r="A381" s="179">
        <v>16</v>
      </c>
      <c r="B381" s="101">
        <v>18.13</v>
      </c>
      <c r="C381" s="101">
        <v>18.13</v>
      </c>
      <c r="D381" s="101">
        <v>18.13</v>
      </c>
      <c r="E381" s="100">
        <v>18.13</v>
      </c>
      <c r="F381" s="100">
        <v>19.32</v>
      </c>
      <c r="G381" s="100">
        <v>24.93</v>
      </c>
      <c r="H381" s="100">
        <v>19.32</v>
      </c>
      <c r="I381" s="101">
        <v>27.02</v>
      </c>
      <c r="J381" s="101">
        <v>36.17</v>
      </c>
      <c r="K381" s="100">
        <v>39.76</v>
      </c>
      <c r="L381" s="101">
        <v>44.55</v>
      </c>
      <c r="M381" s="101">
        <v>46.94</v>
      </c>
      <c r="N381" s="100"/>
      <c r="P381" s="179">
        <v>16</v>
      </c>
      <c r="Q381" s="183">
        <v>11.93</v>
      </c>
      <c r="R381" s="101">
        <v>11.93</v>
      </c>
      <c r="S381" s="101">
        <v>11.93</v>
      </c>
      <c r="T381" s="183">
        <v>11.93</v>
      </c>
      <c r="U381" s="183">
        <v>12.79</v>
      </c>
      <c r="V381" s="101">
        <v>16.579999999999998</v>
      </c>
      <c r="W381" s="183">
        <v>12.79</v>
      </c>
      <c r="X381" s="101">
        <v>18.079999999999998</v>
      </c>
      <c r="Y381" s="100">
        <v>24.31</v>
      </c>
      <c r="Z381" s="101">
        <v>26.88</v>
      </c>
      <c r="AA381" s="101">
        <v>30.3</v>
      </c>
      <c r="AB381" s="101">
        <v>32.01</v>
      </c>
      <c r="AC381" s="100"/>
    </row>
    <row r="382" spans="1:29" x14ac:dyDescent="0.3">
      <c r="A382" s="179">
        <v>18</v>
      </c>
      <c r="B382" s="101">
        <v>20.07</v>
      </c>
      <c r="C382" s="101">
        <v>20.07</v>
      </c>
      <c r="D382" s="101">
        <v>21.39</v>
      </c>
      <c r="E382" s="100">
        <v>20.07</v>
      </c>
      <c r="F382" s="100">
        <v>25.67</v>
      </c>
      <c r="G382" s="100">
        <v>27.59</v>
      </c>
      <c r="H382" s="100">
        <v>21.39</v>
      </c>
      <c r="I382" s="101">
        <v>32.68</v>
      </c>
      <c r="J382" s="101">
        <v>43.98</v>
      </c>
      <c r="K382" s="100">
        <v>46.63</v>
      </c>
      <c r="L382" s="101">
        <v>51.91</v>
      </c>
      <c r="M382" s="101">
        <v>57.86</v>
      </c>
      <c r="N382" s="100"/>
      <c r="P382" s="179">
        <v>18</v>
      </c>
      <c r="Q382" s="183">
        <v>13.23</v>
      </c>
      <c r="R382" s="101">
        <v>13.23</v>
      </c>
      <c r="S382" s="101">
        <v>14.18</v>
      </c>
      <c r="T382" s="183">
        <v>13.23</v>
      </c>
      <c r="U382" s="183">
        <v>16.829999999999998</v>
      </c>
      <c r="V382" s="101">
        <v>18.399999999999999</v>
      </c>
      <c r="W382" s="183">
        <v>14.18</v>
      </c>
      <c r="X382" s="101">
        <v>22.06</v>
      </c>
      <c r="Y382" s="100">
        <v>29.83</v>
      </c>
      <c r="Z382" s="101">
        <v>31.73</v>
      </c>
      <c r="AA382" s="101">
        <v>35.53</v>
      </c>
      <c r="AB382" s="101">
        <v>39.81</v>
      </c>
      <c r="AC382" s="100"/>
    </row>
    <row r="383" spans="1:29" x14ac:dyDescent="0.3">
      <c r="A383" s="179">
        <v>20</v>
      </c>
      <c r="B383" s="101">
        <v>22.02</v>
      </c>
      <c r="C383" s="101">
        <v>22.02</v>
      </c>
      <c r="D383" s="101">
        <v>23.47</v>
      </c>
      <c r="E383" s="100">
        <v>22.02</v>
      </c>
      <c r="F383" s="100">
        <v>28.16</v>
      </c>
      <c r="G383" s="100">
        <v>32.78</v>
      </c>
      <c r="H383" s="100">
        <v>23.47</v>
      </c>
      <c r="I383" s="101">
        <v>43.86</v>
      </c>
      <c r="J383" s="101">
        <v>51.08</v>
      </c>
      <c r="K383" s="100">
        <v>53.96</v>
      </c>
      <c r="L383" s="101">
        <v>59.74</v>
      </c>
      <c r="M383" s="101">
        <v>66.95</v>
      </c>
      <c r="N383" s="100"/>
      <c r="P383" s="179">
        <v>20</v>
      </c>
      <c r="Q383" s="183">
        <v>14.53</v>
      </c>
      <c r="R383" s="101">
        <v>14.53</v>
      </c>
      <c r="S383" s="101">
        <v>15.58</v>
      </c>
      <c r="T383" s="183">
        <v>14.53</v>
      </c>
      <c r="U383" s="183">
        <v>18.48</v>
      </c>
      <c r="V383" s="101">
        <v>22.04</v>
      </c>
      <c r="W383" s="183">
        <v>15.58</v>
      </c>
      <c r="X383" s="101">
        <v>29.64</v>
      </c>
      <c r="Y383" s="100">
        <v>34.86</v>
      </c>
      <c r="Z383" s="101">
        <v>36.950000000000003</v>
      </c>
      <c r="AA383" s="101">
        <v>41.14</v>
      </c>
      <c r="AB383" s="101">
        <v>46.36</v>
      </c>
      <c r="AC383" s="100"/>
    </row>
    <row r="384" spans="1:29" x14ac:dyDescent="0.3">
      <c r="A384" s="179">
        <v>24</v>
      </c>
      <c r="B384" s="101">
        <v>26.01</v>
      </c>
      <c r="C384" s="101">
        <v>26.01</v>
      </c>
      <c r="D384" s="101">
        <v>33.36</v>
      </c>
      <c r="E384" s="100">
        <v>26.01</v>
      </c>
      <c r="F384" s="100">
        <v>35.97</v>
      </c>
      <c r="G384" s="100">
        <v>42.88</v>
      </c>
      <c r="H384" s="100">
        <v>27.8</v>
      </c>
      <c r="I384" s="101">
        <v>57.86</v>
      </c>
      <c r="J384" s="101">
        <v>68.63</v>
      </c>
      <c r="K384" s="100">
        <v>76.709999999999994</v>
      </c>
      <c r="L384" s="101">
        <v>84.79</v>
      </c>
      <c r="M384" s="101">
        <v>88.38</v>
      </c>
      <c r="N384" s="100"/>
      <c r="P384" s="179">
        <v>24</v>
      </c>
      <c r="Q384" s="183">
        <v>17.37</v>
      </c>
      <c r="R384" s="101">
        <v>17.37</v>
      </c>
      <c r="S384" s="101">
        <v>22.12</v>
      </c>
      <c r="T384" s="183">
        <v>17.37</v>
      </c>
      <c r="U384" s="183">
        <v>24.21</v>
      </c>
      <c r="V384" s="101">
        <v>29.09</v>
      </c>
      <c r="W384" s="183">
        <v>18.64</v>
      </c>
      <c r="X384" s="101">
        <v>39.369999999999997</v>
      </c>
      <c r="Y384" s="100">
        <v>46.97</v>
      </c>
      <c r="Z384" s="101">
        <v>52.67</v>
      </c>
      <c r="AA384" s="101">
        <v>58.37</v>
      </c>
      <c r="AB384" s="101">
        <v>60.91</v>
      </c>
      <c r="AC384" s="100"/>
    </row>
    <row r="385" spans="1:29" x14ac:dyDescent="0.3">
      <c r="A385" s="179">
        <v>26</v>
      </c>
      <c r="B385" s="101"/>
      <c r="C385" s="101">
        <v>28.18</v>
      </c>
      <c r="D385" s="101">
        <v>36.14</v>
      </c>
      <c r="E385" s="100">
        <v>28.18</v>
      </c>
      <c r="F385" s="100">
        <v>38.96</v>
      </c>
      <c r="G385" s="100"/>
      <c r="H385" s="100">
        <v>30.12</v>
      </c>
      <c r="I385" s="100"/>
      <c r="J385" s="100"/>
      <c r="K385" s="100"/>
      <c r="L385" s="100"/>
      <c r="M385" s="100"/>
      <c r="N385" s="100"/>
      <c r="P385" s="179">
        <v>26</v>
      </c>
      <c r="Q385" s="183"/>
      <c r="R385" s="101">
        <v>19.34</v>
      </c>
      <c r="S385" s="101">
        <v>23.95</v>
      </c>
      <c r="T385" s="183">
        <v>18.82</v>
      </c>
      <c r="U385" s="183">
        <v>26.22</v>
      </c>
      <c r="V385" s="100"/>
      <c r="W385" s="183">
        <v>20.190000000000001</v>
      </c>
      <c r="X385" s="101"/>
      <c r="Y385" s="100"/>
      <c r="Z385" s="100"/>
      <c r="AA385" s="100"/>
      <c r="AB385" s="100"/>
      <c r="AC385" s="100"/>
    </row>
    <row r="386" spans="1:29" x14ac:dyDescent="0.3">
      <c r="A386" s="179">
        <v>28</v>
      </c>
      <c r="B386" s="101">
        <v>30.34</v>
      </c>
      <c r="C386" s="101">
        <v>30.34</v>
      </c>
      <c r="D386" s="101">
        <v>38.92</v>
      </c>
      <c r="E386" s="100">
        <v>30.34</v>
      </c>
      <c r="F386" s="100">
        <v>41.96</v>
      </c>
      <c r="G386" s="100"/>
      <c r="H386" s="100">
        <v>32.44</v>
      </c>
      <c r="I386" s="100"/>
      <c r="J386" s="100"/>
      <c r="K386" s="100"/>
      <c r="L386" s="100"/>
      <c r="M386" s="100"/>
      <c r="N386" s="100"/>
      <c r="P386" s="179">
        <v>28</v>
      </c>
      <c r="Q386" s="183">
        <v>21.31</v>
      </c>
      <c r="R386" s="101">
        <v>21.31</v>
      </c>
      <c r="S386" s="101">
        <v>25.79</v>
      </c>
      <c r="T386" s="183">
        <v>20.260000000000002</v>
      </c>
      <c r="U386" s="183">
        <v>28.23</v>
      </c>
      <c r="V386" s="100"/>
      <c r="W386" s="183">
        <v>21.74</v>
      </c>
      <c r="X386" s="101"/>
      <c r="Y386" s="100"/>
      <c r="Z386" s="100"/>
      <c r="AA386" s="100"/>
      <c r="AB386" s="100"/>
      <c r="AC386" s="100"/>
    </row>
    <row r="387" spans="1:29" x14ac:dyDescent="0.3">
      <c r="A387" s="179">
        <v>30</v>
      </c>
      <c r="B387" s="101">
        <v>34.83</v>
      </c>
      <c r="C387" s="101">
        <v>34.83</v>
      </c>
      <c r="D387" s="101">
        <v>41.79</v>
      </c>
      <c r="E387" s="100">
        <v>32.58</v>
      </c>
      <c r="F387" s="100">
        <v>45.06</v>
      </c>
      <c r="G387" s="100"/>
      <c r="H387" s="100">
        <v>34.83</v>
      </c>
      <c r="I387" s="100"/>
      <c r="J387" s="100"/>
      <c r="K387" s="100"/>
      <c r="L387" s="100"/>
      <c r="M387" s="100"/>
      <c r="N387" s="100"/>
      <c r="P387" s="179">
        <v>30</v>
      </c>
      <c r="Q387" s="183">
        <v>23.28</v>
      </c>
      <c r="R387" s="101">
        <v>23.28</v>
      </c>
      <c r="S387" s="101">
        <v>27.62</v>
      </c>
      <c r="T387" s="183">
        <v>21.7</v>
      </c>
      <c r="U387" s="183">
        <v>30.24</v>
      </c>
      <c r="V387" s="100"/>
      <c r="W387" s="183">
        <v>23.28</v>
      </c>
      <c r="X387" s="101"/>
      <c r="Y387" s="100"/>
      <c r="Z387" s="100"/>
      <c r="AA387" s="100"/>
      <c r="AB387" s="100"/>
      <c r="AC387" s="100"/>
    </row>
    <row r="388" spans="1:29" x14ac:dyDescent="0.3">
      <c r="A388" s="179">
        <v>32</v>
      </c>
      <c r="B388" s="101">
        <v>37.15</v>
      </c>
      <c r="C388" s="101">
        <v>37.15</v>
      </c>
      <c r="D388" s="101">
        <v>44.58</v>
      </c>
      <c r="E388" s="100">
        <v>34.75</v>
      </c>
      <c r="F388" s="100">
        <v>48.07</v>
      </c>
      <c r="G388" s="100"/>
      <c r="H388" s="100">
        <v>37.15</v>
      </c>
      <c r="I388" s="100"/>
      <c r="J388" s="100"/>
      <c r="K388" s="100"/>
      <c r="L388" s="100"/>
      <c r="M388" s="100"/>
      <c r="N388" s="100"/>
      <c r="P388" s="179">
        <v>32</v>
      </c>
      <c r="Q388" s="183">
        <v>24.84</v>
      </c>
      <c r="R388" s="101">
        <v>24.84</v>
      </c>
      <c r="S388" s="101">
        <v>29.46</v>
      </c>
      <c r="T388" s="183">
        <v>23.15</v>
      </c>
      <c r="U388" s="183">
        <v>32.25</v>
      </c>
      <c r="V388" s="100"/>
      <c r="W388" s="183">
        <v>24.84</v>
      </c>
      <c r="X388" s="101"/>
      <c r="Y388" s="100"/>
      <c r="Z388" s="100"/>
      <c r="AA388" s="100"/>
      <c r="AB388" s="100"/>
      <c r="AC388" s="100"/>
    </row>
    <row r="389" spans="1:29" x14ac:dyDescent="0.3">
      <c r="A389" s="179">
        <v>36</v>
      </c>
      <c r="B389" s="100"/>
      <c r="C389" s="101">
        <v>41.86</v>
      </c>
      <c r="D389" s="101">
        <v>50.23</v>
      </c>
      <c r="E389" s="100">
        <v>39.15</v>
      </c>
      <c r="F389" s="100">
        <v>54.16</v>
      </c>
      <c r="G389" s="100"/>
      <c r="H389" s="100">
        <v>41.86</v>
      </c>
      <c r="I389" s="100"/>
      <c r="J389" s="100"/>
      <c r="K389" s="100"/>
      <c r="L389" s="100"/>
      <c r="M389" s="100"/>
      <c r="N389" s="100"/>
      <c r="P389" s="179">
        <v>36</v>
      </c>
      <c r="Q389" s="100"/>
      <c r="R389" s="101">
        <v>27.94</v>
      </c>
      <c r="S389" s="101">
        <v>33.14</v>
      </c>
      <c r="T389" s="183">
        <v>26.04</v>
      </c>
      <c r="U389" s="183">
        <v>36.28</v>
      </c>
      <c r="V389" s="100"/>
      <c r="W389" s="183">
        <v>27.94</v>
      </c>
      <c r="X389" s="101"/>
      <c r="Y389" s="100"/>
      <c r="Z389" s="100"/>
      <c r="AA389" s="100"/>
      <c r="AB389" s="100"/>
      <c r="AC389" s="100"/>
    </row>
    <row r="390" spans="1:29" x14ac:dyDescent="0.3">
      <c r="A390" s="179">
        <v>42</v>
      </c>
      <c r="B390" s="100"/>
      <c r="C390" s="100"/>
      <c r="D390" s="100"/>
      <c r="E390" s="100">
        <v>45.72</v>
      </c>
      <c r="F390" s="100"/>
      <c r="G390" s="100"/>
      <c r="H390" s="100"/>
      <c r="I390" s="100"/>
      <c r="J390" s="100"/>
      <c r="K390" s="100"/>
      <c r="L390" s="100"/>
      <c r="M390" s="100"/>
      <c r="N390" s="100"/>
      <c r="P390" s="179">
        <v>42</v>
      </c>
      <c r="Q390" s="100"/>
      <c r="R390" s="100"/>
      <c r="S390" s="100"/>
      <c r="T390" s="183">
        <v>30.36</v>
      </c>
      <c r="U390" s="100"/>
      <c r="V390" s="100"/>
      <c r="W390" s="100"/>
      <c r="X390" s="100"/>
      <c r="Y390" s="100"/>
      <c r="Z390" s="100"/>
      <c r="AA390" s="100"/>
      <c r="AB390" s="100"/>
      <c r="AC390" s="100"/>
    </row>
    <row r="391" spans="1:29" x14ac:dyDescent="0.3">
      <c r="A391" s="179">
        <v>48</v>
      </c>
      <c r="B391" s="100"/>
      <c r="C391" s="100"/>
      <c r="D391" s="100"/>
      <c r="E391" s="100">
        <v>52.3</v>
      </c>
      <c r="F391" s="100"/>
      <c r="G391" s="100"/>
      <c r="H391" s="100"/>
      <c r="I391" s="100"/>
      <c r="J391" s="100"/>
      <c r="K391" s="100"/>
      <c r="L391" s="100"/>
      <c r="M391" s="100"/>
      <c r="N391" s="100"/>
      <c r="P391" s="179">
        <v>48</v>
      </c>
      <c r="Q391" s="100"/>
      <c r="R391" s="100"/>
      <c r="S391" s="100"/>
      <c r="T391" s="183">
        <v>34.700000000000003</v>
      </c>
      <c r="U391" s="100"/>
      <c r="V391" s="100"/>
      <c r="W391" s="100"/>
      <c r="X391" s="100"/>
      <c r="Y391" s="100"/>
      <c r="Z391" s="100"/>
      <c r="AA391" s="100"/>
      <c r="AB391" s="100"/>
      <c r="AC391" s="100"/>
    </row>
    <row r="392" spans="1:29" x14ac:dyDescent="0.3">
      <c r="A392" s="83"/>
      <c r="B392" s="84"/>
      <c r="C392" s="84"/>
      <c r="D392" s="84"/>
      <c r="E392" s="84"/>
      <c r="F392" s="84"/>
      <c r="G392" s="84"/>
      <c r="H392" s="84"/>
      <c r="I392" s="84"/>
      <c r="J392" s="84"/>
      <c r="K392" s="84"/>
      <c r="L392" s="84"/>
      <c r="M392" s="84"/>
      <c r="N392" s="84"/>
      <c r="P392" s="83"/>
      <c r="Q392" s="84"/>
      <c r="R392" s="84"/>
      <c r="S392" s="84"/>
      <c r="T392" s="84"/>
      <c r="U392" s="84"/>
      <c r="V392" s="84"/>
      <c r="W392" s="84"/>
      <c r="X392" s="84"/>
      <c r="Y392" s="84"/>
      <c r="Z392" s="84"/>
      <c r="AA392" s="84"/>
      <c r="AB392" s="84"/>
      <c r="AC392" s="84"/>
    </row>
    <row r="393" spans="1:29" ht="15" customHeight="1" x14ac:dyDescent="0.3">
      <c r="A393" s="99" t="s">
        <v>770</v>
      </c>
      <c r="B393" s="100" t="s">
        <v>704</v>
      </c>
      <c r="C393" s="100" t="s">
        <v>705</v>
      </c>
      <c r="D393" s="100" t="s">
        <v>706</v>
      </c>
      <c r="E393" s="100" t="s">
        <v>707</v>
      </c>
      <c r="F393" s="100" t="s">
        <v>708</v>
      </c>
      <c r="G393" s="100" t="s">
        <v>709</v>
      </c>
      <c r="H393" s="100" t="s">
        <v>710</v>
      </c>
      <c r="I393" s="100" t="s">
        <v>711</v>
      </c>
      <c r="J393" s="100" t="s">
        <v>712</v>
      </c>
      <c r="K393" s="100" t="s">
        <v>713</v>
      </c>
      <c r="L393" s="100" t="s">
        <v>714</v>
      </c>
      <c r="M393" s="100" t="s">
        <v>715</v>
      </c>
      <c r="N393" s="100" t="s">
        <v>716</v>
      </c>
      <c r="P393" s="86" t="s">
        <v>771</v>
      </c>
      <c r="Q393" s="183" t="s">
        <v>704</v>
      </c>
      <c r="R393" s="183" t="s">
        <v>705</v>
      </c>
      <c r="S393" s="183" t="s">
        <v>706</v>
      </c>
      <c r="T393" s="183" t="s">
        <v>707</v>
      </c>
      <c r="U393" s="183" t="s">
        <v>708</v>
      </c>
      <c r="V393" s="183" t="s">
        <v>709</v>
      </c>
      <c r="W393" s="183" t="s">
        <v>710</v>
      </c>
      <c r="X393" s="183" t="s">
        <v>711</v>
      </c>
      <c r="Y393" s="183" t="s">
        <v>712</v>
      </c>
      <c r="Z393" s="183" t="s">
        <v>713</v>
      </c>
      <c r="AA393" s="183" t="s">
        <v>714</v>
      </c>
      <c r="AB393" s="183" t="s">
        <v>715</v>
      </c>
      <c r="AC393" s="183" t="s">
        <v>716</v>
      </c>
    </row>
    <row r="394" spans="1:29" x14ac:dyDescent="0.3">
      <c r="A394" s="179" t="s">
        <v>718</v>
      </c>
      <c r="B394" s="101">
        <v>0.18</v>
      </c>
      <c r="C394" s="100"/>
      <c r="D394" s="100"/>
      <c r="E394" s="100">
        <v>0.18</v>
      </c>
      <c r="F394" s="100">
        <v>0.18</v>
      </c>
      <c r="G394" s="100"/>
      <c r="H394" s="100">
        <v>0.18</v>
      </c>
      <c r="I394" s="101">
        <v>0.18</v>
      </c>
      <c r="J394" s="101"/>
      <c r="K394" s="100"/>
      <c r="L394" s="101"/>
      <c r="M394" s="101">
        <v>0.18</v>
      </c>
      <c r="N394" s="101">
        <v>0.18</v>
      </c>
      <c r="P394" s="179" t="s">
        <v>718</v>
      </c>
      <c r="Q394" s="183">
        <v>0.19</v>
      </c>
      <c r="R394" s="100"/>
      <c r="S394" s="100"/>
      <c r="T394" s="183">
        <v>0.19</v>
      </c>
      <c r="U394" s="183">
        <v>0.19</v>
      </c>
      <c r="V394" s="100"/>
      <c r="W394" s="183">
        <v>0.19</v>
      </c>
      <c r="X394" s="101">
        <v>0.19</v>
      </c>
      <c r="Y394" s="100"/>
      <c r="Z394" s="100"/>
      <c r="AA394" s="100"/>
      <c r="AB394" s="101">
        <v>0.19</v>
      </c>
      <c r="AC394" s="101">
        <v>0.19</v>
      </c>
    </row>
    <row r="395" spans="1:29" x14ac:dyDescent="0.3">
      <c r="A395" s="179" t="s">
        <v>719</v>
      </c>
      <c r="B395" s="101">
        <v>0.18</v>
      </c>
      <c r="C395" s="100"/>
      <c r="D395" s="100"/>
      <c r="E395" s="100">
        <v>0.18</v>
      </c>
      <c r="F395" s="100">
        <v>0.18</v>
      </c>
      <c r="G395" s="100"/>
      <c r="H395" s="100">
        <v>0.18</v>
      </c>
      <c r="I395" s="101">
        <v>0.18</v>
      </c>
      <c r="J395" s="101"/>
      <c r="K395" s="100"/>
      <c r="L395" s="101"/>
      <c r="M395" s="101">
        <v>0.18</v>
      </c>
      <c r="N395" s="101">
        <v>0.18</v>
      </c>
      <c r="P395" s="179" t="s">
        <v>719</v>
      </c>
      <c r="Q395" s="183">
        <v>0.19</v>
      </c>
      <c r="R395" s="100"/>
      <c r="S395" s="100"/>
      <c r="T395" s="183">
        <v>0.19</v>
      </c>
      <c r="U395" s="183">
        <v>0.19</v>
      </c>
      <c r="V395" s="100"/>
      <c r="W395" s="183">
        <v>0.19</v>
      </c>
      <c r="X395" s="101">
        <v>0.19</v>
      </c>
      <c r="Y395" s="100"/>
      <c r="Z395" s="100"/>
      <c r="AA395" s="100"/>
      <c r="AB395" s="101">
        <v>0.19</v>
      </c>
      <c r="AC395" s="101">
        <v>0.19</v>
      </c>
    </row>
    <row r="396" spans="1:29" x14ac:dyDescent="0.3">
      <c r="A396" s="179">
        <v>1</v>
      </c>
      <c r="B396" s="101">
        <v>0.22</v>
      </c>
      <c r="C396" s="100"/>
      <c r="D396" s="100"/>
      <c r="E396" s="100">
        <v>0.22</v>
      </c>
      <c r="F396" s="100">
        <v>0.22</v>
      </c>
      <c r="G396" s="100"/>
      <c r="H396" s="100">
        <v>0.22</v>
      </c>
      <c r="I396" s="101">
        <v>0.22</v>
      </c>
      <c r="J396" s="101"/>
      <c r="K396" s="100"/>
      <c r="L396" s="101"/>
      <c r="M396" s="101">
        <v>0.22</v>
      </c>
      <c r="N396" s="101">
        <v>0.22</v>
      </c>
      <c r="P396" s="179">
        <v>1</v>
      </c>
      <c r="Q396" s="183">
        <v>0.23</v>
      </c>
      <c r="R396" s="100"/>
      <c r="S396" s="100"/>
      <c r="T396" s="183">
        <v>0.23</v>
      </c>
      <c r="U396" s="183">
        <v>0.23</v>
      </c>
      <c r="V396" s="100"/>
      <c r="W396" s="183">
        <v>0.23</v>
      </c>
      <c r="X396" s="101">
        <v>0.23</v>
      </c>
      <c r="Y396" s="100"/>
      <c r="Z396" s="100"/>
      <c r="AA396" s="100"/>
      <c r="AB396" s="101">
        <v>0.23</v>
      </c>
      <c r="AC396" s="101">
        <v>0.23</v>
      </c>
    </row>
    <row r="397" spans="1:29" x14ac:dyDescent="0.3">
      <c r="A397" s="179" t="s">
        <v>720</v>
      </c>
      <c r="B397" s="101">
        <v>0.28999999999999998</v>
      </c>
      <c r="C397" s="100"/>
      <c r="D397" s="100"/>
      <c r="E397" s="100">
        <v>0.28999999999999998</v>
      </c>
      <c r="F397" s="100">
        <v>0.28999999999999998</v>
      </c>
      <c r="G397" s="100"/>
      <c r="H397" s="100">
        <v>0.28999999999999998</v>
      </c>
      <c r="I397" s="101">
        <v>0.28999999999999998</v>
      </c>
      <c r="J397" s="101"/>
      <c r="K397" s="100"/>
      <c r="L397" s="101"/>
      <c r="M397" s="101">
        <v>0.28999999999999998</v>
      </c>
      <c r="N397" s="101">
        <v>0.28999999999999998</v>
      </c>
      <c r="P397" s="179" t="s">
        <v>720</v>
      </c>
      <c r="Q397" s="183">
        <v>0.31</v>
      </c>
      <c r="R397" s="100"/>
      <c r="S397" s="100"/>
      <c r="T397" s="183">
        <v>0.31</v>
      </c>
      <c r="U397" s="183">
        <v>0.31</v>
      </c>
      <c r="V397" s="100"/>
      <c r="W397" s="183">
        <v>0.31</v>
      </c>
      <c r="X397" s="101">
        <v>0.31</v>
      </c>
      <c r="Y397" s="100"/>
      <c r="Z397" s="100"/>
      <c r="AA397" s="100"/>
      <c r="AB397" s="101">
        <v>0.31</v>
      </c>
      <c r="AC397" s="101">
        <v>0.31</v>
      </c>
    </row>
    <row r="398" spans="1:29" x14ac:dyDescent="0.3">
      <c r="A398" s="179">
        <v>2</v>
      </c>
      <c r="B398" s="101">
        <v>0.4</v>
      </c>
      <c r="C398" s="100"/>
      <c r="D398" s="100"/>
      <c r="E398" s="100">
        <v>0.4</v>
      </c>
      <c r="F398" s="100">
        <v>0.4</v>
      </c>
      <c r="G398" s="100"/>
      <c r="H398" s="100">
        <v>0.4</v>
      </c>
      <c r="I398" s="101">
        <v>0.4</v>
      </c>
      <c r="J398" s="101"/>
      <c r="K398" s="100"/>
      <c r="L398" s="101"/>
      <c r="M398" s="101">
        <v>0.4</v>
      </c>
      <c r="N398" s="101">
        <v>0.4</v>
      </c>
      <c r="P398" s="179">
        <v>2</v>
      </c>
      <c r="Q398" s="183">
        <v>0.42</v>
      </c>
      <c r="R398" s="100"/>
      <c r="S398" s="100"/>
      <c r="T398" s="183">
        <v>0.42</v>
      </c>
      <c r="U398" s="183">
        <v>0.42</v>
      </c>
      <c r="V398" s="100"/>
      <c r="W398" s="183">
        <v>0.42</v>
      </c>
      <c r="X398" s="101">
        <v>0.42</v>
      </c>
      <c r="Y398" s="100"/>
      <c r="Z398" s="100"/>
      <c r="AA398" s="100"/>
      <c r="AB398" s="101">
        <v>0.42</v>
      </c>
      <c r="AC398" s="101">
        <v>0.42</v>
      </c>
    </row>
    <row r="399" spans="1:29" x14ac:dyDescent="0.3">
      <c r="A399" s="179" t="s">
        <v>721</v>
      </c>
      <c r="B399" s="101">
        <v>0.57999999999999996</v>
      </c>
      <c r="C399" s="100"/>
      <c r="D399" s="100"/>
      <c r="E399" s="100">
        <v>0.57999999999999996</v>
      </c>
      <c r="F399" s="100">
        <v>0.57999999999999996</v>
      </c>
      <c r="G399" s="100"/>
      <c r="H399" s="100">
        <v>0.57999999999999996</v>
      </c>
      <c r="I399" s="101">
        <v>0.57999999999999996</v>
      </c>
      <c r="J399" s="101"/>
      <c r="K399" s="100"/>
      <c r="L399" s="101"/>
      <c r="M399" s="101">
        <v>0.57999999999999996</v>
      </c>
      <c r="N399" s="101">
        <v>0.57999999999999996</v>
      </c>
      <c r="P399" s="179" t="s">
        <v>721</v>
      </c>
      <c r="Q399" s="183">
        <v>0.6</v>
      </c>
      <c r="R399" s="100"/>
      <c r="S399" s="100"/>
      <c r="T399" s="183">
        <v>0.6</v>
      </c>
      <c r="U399" s="183">
        <v>0.6</v>
      </c>
      <c r="V399" s="100"/>
      <c r="W399" s="183">
        <v>0.6</v>
      </c>
      <c r="X399" s="101">
        <v>0.6</v>
      </c>
      <c r="Y399" s="100"/>
      <c r="Z399" s="100"/>
      <c r="AA399" s="100"/>
      <c r="AB399" s="101">
        <v>0.6</v>
      </c>
      <c r="AC399" s="101">
        <v>0.6</v>
      </c>
    </row>
    <row r="400" spans="1:29" x14ac:dyDescent="0.3">
      <c r="A400" s="179">
        <v>3</v>
      </c>
      <c r="B400" s="101">
        <v>0.76</v>
      </c>
      <c r="C400" s="100"/>
      <c r="D400" s="100"/>
      <c r="E400" s="100">
        <v>0.76</v>
      </c>
      <c r="F400" s="100">
        <v>0.76</v>
      </c>
      <c r="G400" s="100"/>
      <c r="H400" s="100">
        <v>0.76</v>
      </c>
      <c r="I400" s="101">
        <v>0.76</v>
      </c>
      <c r="J400" s="101"/>
      <c r="K400" s="100"/>
      <c r="L400" s="101"/>
      <c r="M400" s="101">
        <v>0.76</v>
      </c>
      <c r="N400" s="101">
        <v>0.76</v>
      </c>
      <c r="P400" s="179">
        <v>3</v>
      </c>
      <c r="Q400" s="183">
        <v>0.78</v>
      </c>
      <c r="R400" s="100"/>
      <c r="S400" s="100"/>
      <c r="T400" s="183">
        <v>0.78</v>
      </c>
      <c r="U400" s="183">
        <v>0.78</v>
      </c>
      <c r="V400" s="100"/>
      <c r="W400" s="183">
        <v>0.78</v>
      </c>
      <c r="X400" s="101">
        <v>0.78</v>
      </c>
      <c r="Y400" s="100"/>
      <c r="Z400" s="100"/>
      <c r="AA400" s="100"/>
      <c r="AB400" s="101">
        <v>0.78</v>
      </c>
      <c r="AC400" s="101">
        <v>0.78</v>
      </c>
    </row>
    <row r="401" spans="1:29" x14ac:dyDescent="0.3">
      <c r="A401" s="179">
        <v>4</v>
      </c>
      <c r="B401" s="101">
        <v>1.1200000000000001</v>
      </c>
      <c r="C401" s="100"/>
      <c r="D401" s="100"/>
      <c r="E401" s="100">
        <v>1.1200000000000001</v>
      </c>
      <c r="F401" s="100">
        <v>1.1200000000000001</v>
      </c>
      <c r="G401" s="100"/>
      <c r="H401" s="100">
        <v>1.1200000000000001</v>
      </c>
      <c r="I401" s="101">
        <v>1.1200000000000001</v>
      </c>
      <c r="J401" s="101"/>
      <c r="K401" s="100">
        <v>1.1200000000000001</v>
      </c>
      <c r="L401" s="101"/>
      <c r="M401" s="101">
        <v>1.1200000000000001</v>
      </c>
      <c r="N401" s="101">
        <v>1.1200000000000001</v>
      </c>
      <c r="P401" s="179">
        <v>4</v>
      </c>
      <c r="Q401" s="183">
        <v>1.1399999999999999</v>
      </c>
      <c r="R401" s="100"/>
      <c r="S401" s="100"/>
      <c r="T401" s="183">
        <v>1.1399999999999999</v>
      </c>
      <c r="U401" s="183">
        <v>1.1399999999999999</v>
      </c>
      <c r="V401" s="100"/>
      <c r="W401" s="183">
        <v>1.1399999999999999</v>
      </c>
      <c r="X401" s="101">
        <v>1.1399999999999999</v>
      </c>
      <c r="Y401" s="100"/>
      <c r="Z401" s="101">
        <v>1.1399999999999999</v>
      </c>
      <c r="AA401" s="100"/>
      <c r="AB401" s="101">
        <v>1.1399999999999999</v>
      </c>
      <c r="AC401" s="101">
        <v>1.1399999999999999</v>
      </c>
    </row>
    <row r="402" spans="1:29" x14ac:dyDescent="0.3">
      <c r="A402" s="179">
        <v>6</v>
      </c>
      <c r="B402" s="101"/>
      <c r="C402" s="100"/>
      <c r="D402" s="100"/>
      <c r="E402" s="100"/>
      <c r="F402" s="100"/>
      <c r="G402" s="100"/>
      <c r="H402" s="100"/>
      <c r="I402" s="101"/>
      <c r="J402" s="100"/>
      <c r="K402" s="100"/>
      <c r="L402" s="100"/>
      <c r="M402" s="101"/>
      <c r="N402" s="101"/>
      <c r="P402" s="179">
        <v>6</v>
      </c>
      <c r="Q402" s="101"/>
      <c r="R402" s="100"/>
      <c r="S402" s="100"/>
      <c r="T402" s="101"/>
      <c r="U402" s="101"/>
      <c r="V402" s="100"/>
      <c r="W402" s="101"/>
      <c r="X402" s="101"/>
      <c r="Y402" s="101"/>
      <c r="Z402" s="101"/>
      <c r="AA402" s="100"/>
      <c r="AB402" s="101"/>
      <c r="AC402" s="101"/>
    </row>
    <row r="403" spans="1:29" x14ac:dyDescent="0.3">
      <c r="A403" s="179">
        <v>8</v>
      </c>
      <c r="B403" s="101"/>
      <c r="C403" s="101"/>
      <c r="D403" s="101"/>
      <c r="E403" s="100"/>
      <c r="F403" s="100"/>
      <c r="G403" s="100"/>
      <c r="H403" s="100"/>
      <c r="I403" s="101"/>
      <c r="J403" s="101"/>
      <c r="K403" s="100"/>
      <c r="L403" s="101"/>
      <c r="M403" s="101"/>
      <c r="N403" s="101"/>
      <c r="P403" s="179">
        <v>8</v>
      </c>
      <c r="Q403" s="101"/>
      <c r="R403" s="101"/>
      <c r="S403" s="101"/>
      <c r="T403" s="101"/>
      <c r="U403" s="101"/>
      <c r="V403" s="101"/>
      <c r="W403" s="101"/>
      <c r="X403" s="101"/>
      <c r="Y403" s="100"/>
      <c r="Z403" s="101"/>
      <c r="AA403" s="101"/>
      <c r="AB403" s="101"/>
      <c r="AC403" s="101"/>
    </row>
    <row r="404" spans="1:29" x14ac:dyDescent="0.3">
      <c r="A404" s="179">
        <v>10</v>
      </c>
      <c r="B404" s="101"/>
      <c r="C404" s="101"/>
      <c r="D404" s="101"/>
      <c r="E404" s="100"/>
      <c r="F404" s="100"/>
      <c r="G404" s="100"/>
      <c r="H404" s="100"/>
      <c r="I404" s="101"/>
      <c r="J404" s="101"/>
      <c r="K404" s="100"/>
      <c r="L404" s="101"/>
      <c r="M404" s="101"/>
      <c r="N404" s="101"/>
      <c r="P404" s="179">
        <v>10</v>
      </c>
      <c r="Q404" s="101"/>
      <c r="R404" s="101"/>
      <c r="S404" s="101"/>
      <c r="T404" s="101"/>
      <c r="U404" s="101"/>
      <c r="V404" s="101"/>
      <c r="W404" s="101"/>
      <c r="X404" s="101"/>
      <c r="Y404" s="100"/>
      <c r="Z404" s="101"/>
      <c r="AA404" s="101"/>
      <c r="AB404" s="101"/>
      <c r="AC404" s="101"/>
    </row>
    <row r="405" spans="1:29" x14ac:dyDescent="0.3">
      <c r="A405" s="179">
        <v>12</v>
      </c>
      <c r="B405" s="101"/>
      <c r="C405" s="101"/>
      <c r="D405" s="101"/>
      <c r="E405" s="100"/>
      <c r="F405" s="100"/>
      <c r="G405" s="100"/>
      <c r="H405" s="100"/>
      <c r="I405" s="101"/>
      <c r="J405" s="101"/>
      <c r="K405" s="100"/>
      <c r="L405" s="101"/>
      <c r="M405" s="101"/>
      <c r="N405" s="101"/>
      <c r="P405" s="179">
        <v>12</v>
      </c>
      <c r="Q405" s="101"/>
      <c r="R405" s="101"/>
      <c r="S405" s="101"/>
      <c r="T405" s="101"/>
      <c r="U405" s="101"/>
      <c r="V405" s="101"/>
      <c r="W405" s="101"/>
      <c r="X405" s="101"/>
      <c r="Y405" s="100"/>
      <c r="Z405" s="101"/>
      <c r="AA405" s="101"/>
      <c r="AB405" s="101"/>
      <c r="AC405" s="101"/>
    </row>
    <row r="406" spans="1:29" x14ac:dyDescent="0.3">
      <c r="A406" s="179">
        <v>14</v>
      </c>
      <c r="B406" s="101"/>
      <c r="C406" s="101"/>
      <c r="D406" s="101"/>
      <c r="E406" s="100"/>
      <c r="F406" s="100"/>
      <c r="G406" s="100"/>
      <c r="H406" s="100"/>
      <c r="I406" s="101"/>
      <c r="J406" s="101"/>
      <c r="K406" s="100"/>
      <c r="L406" s="101"/>
      <c r="M406" s="101"/>
      <c r="N406" s="100"/>
      <c r="P406" s="179">
        <v>14</v>
      </c>
      <c r="Q406" s="101"/>
      <c r="R406" s="101"/>
      <c r="S406" s="101"/>
      <c r="T406" s="101"/>
      <c r="U406" s="101"/>
      <c r="V406" s="101"/>
      <c r="W406" s="101"/>
      <c r="X406" s="101"/>
      <c r="Y406" s="100"/>
      <c r="Z406" s="101"/>
      <c r="AA406" s="101"/>
      <c r="AB406" s="101"/>
      <c r="AC406" s="100"/>
    </row>
    <row r="407" spans="1:29" x14ac:dyDescent="0.3">
      <c r="A407" s="179">
        <v>16</v>
      </c>
      <c r="B407" s="101"/>
      <c r="C407" s="101"/>
      <c r="D407" s="101"/>
      <c r="E407" s="100"/>
      <c r="F407" s="100"/>
      <c r="G407" s="100"/>
      <c r="H407" s="100"/>
      <c r="I407" s="101"/>
      <c r="J407" s="101"/>
      <c r="K407" s="100"/>
      <c r="L407" s="101"/>
      <c r="M407" s="101"/>
      <c r="N407" s="100"/>
      <c r="P407" s="179">
        <v>16</v>
      </c>
      <c r="Q407" s="101"/>
      <c r="R407" s="101"/>
      <c r="S407" s="101"/>
      <c r="T407" s="101"/>
      <c r="U407" s="101"/>
      <c r="V407" s="101"/>
      <c r="W407" s="101"/>
      <c r="X407" s="101"/>
      <c r="Y407" s="100"/>
      <c r="Z407" s="101"/>
      <c r="AA407" s="101"/>
      <c r="AB407" s="101"/>
      <c r="AC407" s="100"/>
    </row>
    <row r="408" spans="1:29" x14ac:dyDescent="0.3">
      <c r="A408" s="179">
        <v>18</v>
      </c>
      <c r="B408" s="101"/>
      <c r="C408" s="101"/>
      <c r="D408" s="101"/>
      <c r="E408" s="100"/>
      <c r="F408" s="100"/>
      <c r="G408" s="100"/>
      <c r="H408" s="100"/>
      <c r="I408" s="101"/>
      <c r="J408" s="101"/>
      <c r="K408" s="100"/>
      <c r="L408" s="101"/>
      <c r="M408" s="101"/>
      <c r="N408" s="100"/>
      <c r="P408" s="179">
        <v>18</v>
      </c>
      <c r="Q408" s="101"/>
      <c r="R408" s="101"/>
      <c r="S408" s="101"/>
      <c r="T408" s="101"/>
      <c r="U408" s="101"/>
      <c r="V408" s="101"/>
      <c r="W408" s="101"/>
      <c r="X408" s="101"/>
      <c r="Y408" s="100"/>
      <c r="Z408" s="101"/>
      <c r="AA408" s="101"/>
      <c r="AB408" s="101"/>
      <c r="AC408" s="100"/>
    </row>
    <row r="409" spans="1:29" x14ac:dyDescent="0.3">
      <c r="A409" s="179">
        <v>20</v>
      </c>
      <c r="B409" s="101"/>
      <c r="C409" s="101"/>
      <c r="D409" s="101"/>
      <c r="E409" s="100"/>
      <c r="F409" s="100"/>
      <c r="G409" s="100"/>
      <c r="H409" s="100"/>
      <c r="I409" s="101"/>
      <c r="J409" s="101"/>
      <c r="K409" s="100"/>
      <c r="L409" s="101"/>
      <c r="M409" s="101"/>
      <c r="N409" s="100"/>
      <c r="P409" s="179">
        <v>20</v>
      </c>
      <c r="Q409" s="101"/>
      <c r="R409" s="101"/>
      <c r="S409" s="101"/>
      <c r="T409" s="101"/>
      <c r="U409" s="101"/>
      <c r="V409" s="101"/>
      <c r="W409" s="101"/>
      <c r="X409" s="101"/>
      <c r="Y409" s="100"/>
      <c r="Z409" s="101"/>
      <c r="AA409" s="101"/>
      <c r="AB409" s="101"/>
      <c r="AC409" s="100"/>
    </row>
    <row r="410" spans="1:29" x14ac:dyDescent="0.3">
      <c r="A410" s="179">
        <v>24</v>
      </c>
      <c r="B410" s="101"/>
      <c r="C410" s="101"/>
      <c r="D410" s="101"/>
      <c r="E410" s="100"/>
      <c r="F410" s="100"/>
      <c r="G410" s="100"/>
      <c r="H410" s="100"/>
      <c r="I410" s="101"/>
      <c r="J410" s="101"/>
      <c r="K410" s="100"/>
      <c r="L410" s="101"/>
      <c r="M410" s="101"/>
      <c r="N410" s="100"/>
      <c r="P410" s="179">
        <v>24</v>
      </c>
      <c r="Q410" s="101"/>
      <c r="R410" s="101"/>
      <c r="S410" s="101"/>
      <c r="T410" s="101"/>
      <c r="U410" s="101"/>
      <c r="V410" s="101"/>
      <c r="W410" s="101"/>
      <c r="X410" s="101"/>
      <c r="Y410" s="100"/>
      <c r="Z410" s="101"/>
      <c r="AA410" s="101"/>
      <c r="AB410" s="101"/>
      <c r="AC410" s="100"/>
    </row>
    <row r="411" spans="1:29" x14ac:dyDescent="0.3">
      <c r="A411" s="179">
        <v>26</v>
      </c>
      <c r="B411" s="101"/>
      <c r="C411" s="101"/>
      <c r="D411" s="101"/>
      <c r="E411" s="100"/>
      <c r="F411" s="100"/>
      <c r="G411" s="100"/>
      <c r="H411" s="100"/>
      <c r="I411" s="100"/>
      <c r="J411" s="100"/>
      <c r="K411" s="100"/>
      <c r="L411" s="100"/>
      <c r="M411" s="100"/>
      <c r="N411" s="100"/>
      <c r="P411" s="179">
        <v>26</v>
      </c>
      <c r="Q411" s="101"/>
      <c r="R411" s="101"/>
      <c r="S411" s="101"/>
      <c r="T411" s="101"/>
      <c r="U411" s="101"/>
      <c r="V411" s="100"/>
      <c r="W411" s="101"/>
      <c r="X411" s="101"/>
      <c r="Y411" s="100"/>
      <c r="Z411" s="100"/>
      <c r="AA411" s="100"/>
      <c r="AB411" s="100"/>
      <c r="AC411" s="100"/>
    </row>
    <row r="412" spans="1:29" x14ac:dyDescent="0.3">
      <c r="A412" s="179">
        <v>28</v>
      </c>
      <c r="B412" s="101"/>
      <c r="C412" s="101"/>
      <c r="D412" s="101"/>
      <c r="E412" s="100"/>
      <c r="F412" s="100"/>
      <c r="G412" s="100"/>
      <c r="H412" s="100"/>
      <c r="I412" s="100"/>
      <c r="J412" s="100"/>
      <c r="K412" s="100"/>
      <c r="L412" s="100"/>
      <c r="M412" s="100"/>
      <c r="N412" s="100"/>
      <c r="P412" s="179">
        <v>28</v>
      </c>
      <c r="Q412" s="101"/>
      <c r="R412" s="101"/>
      <c r="S412" s="101"/>
      <c r="T412" s="101"/>
      <c r="U412" s="101"/>
      <c r="V412" s="100"/>
      <c r="W412" s="101"/>
      <c r="X412" s="101"/>
      <c r="Y412" s="100"/>
      <c r="Z412" s="100"/>
      <c r="AA412" s="100"/>
      <c r="AB412" s="100"/>
      <c r="AC412" s="100"/>
    </row>
    <row r="413" spans="1:29" x14ac:dyDescent="0.3">
      <c r="A413" s="179">
        <v>30</v>
      </c>
      <c r="B413" s="101"/>
      <c r="C413" s="101"/>
      <c r="D413" s="101"/>
      <c r="E413" s="100"/>
      <c r="F413" s="100"/>
      <c r="G413" s="100"/>
      <c r="H413" s="100"/>
      <c r="I413" s="100"/>
      <c r="J413" s="100"/>
      <c r="K413" s="100"/>
      <c r="L413" s="100"/>
      <c r="M413" s="100"/>
      <c r="N413" s="100"/>
      <c r="P413" s="179">
        <v>30</v>
      </c>
      <c r="Q413" s="101"/>
      <c r="R413" s="101"/>
      <c r="S413" s="101"/>
      <c r="T413" s="101"/>
      <c r="U413" s="101"/>
      <c r="V413" s="100"/>
      <c r="W413" s="101"/>
      <c r="X413" s="101"/>
      <c r="Y413" s="100"/>
      <c r="Z413" s="100"/>
      <c r="AA413" s="100"/>
      <c r="AB413" s="100"/>
      <c r="AC413" s="100"/>
    </row>
    <row r="414" spans="1:29" x14ac:dyDescent="0.3">
      <c r="A414" s="179">
        <v>32</v>
      </c>
      <c r="B414" s="101"/>
      <c r="C414" s="101"/>
      <c r="D414" s="101"/>
      <c r="E414" s="100"/>
      <c r="F414" s="100"/>
      <c r="G414" s="100"/>
      <c r="H414" s="100"/>
      <c r="I414" s="100"/>
      <c r="J414" s="100"/>
      <c r="K414" s="100"/>
      <c r="L414" s="100"/>
      <c r="M414" s="100"/>
      <c r="N414" s="100"/>
      <c r="P414" s="179">
        <v>32</v>
      </c>
      <c r="Q414" s="101"/>
      <c r="R414" s="101"/>
      <c r="S414" s="101"/>
      <c r="T414" s="101"/>
      <c r="U414" s="101"/>
      <c r="V414" s="100"/>
      <c r="W414" s="101"/>
      <c r="X414" s="101"/>
      <c r="Y414" s="100"/>
      <c r="Z414" s="100"/>
      <c r="AA414" s="100"/>
      <c r="AB414" s="100"/>
      <c r="AC414" s="100"/>
    </row>
    <row r="415" spans="1:29" x14ac:dyDescent="0.3">
      <c r="A415" s="179">
        <v>36</v>
      </c>
      <c r="B415" s="100"/>
      <c r="C415" s="101"/>
      <c r="D415" s="101"/>
      <c r="E415" s="100"/>
      <c r="F415" s="100"/>
      <c r="G415" s="100"/>
      <c r="H415" s="100"/>
      <c r="I415" s="100"/>
      <c r="J415" s="100"/>
      <c r="K415" s="100"/>
      <c r="L415" s="100"/>
      <c r="M415" s="100"/>
      <c r="N415" s="100"/>
      <c r="P415" s="179">
        <v>36</v>
      </c>
      <c r="Q415" s="100"/>
      <c r="R415" s="101"/>
      <c r="S415" s="101"/>
      <c r="T415" s="101"/>
      <c r="U415" s="101"/>
      <c r="V415" s="100"/>
      <c r="W415" s="101"/>
      <c r="X415" s="101"/>
      <c r="Y415" s="100"/>
      <c r="Z415" s="100"/>
      <c r="AA415" s="100"/>
      <c r="AB415" s="100"/>
      <c r="AC415" s="100"/>
    </row>
    <row r="416" spans="1:29" x14ac:dyDescent="0.3">
      <c r="A416" s="179">
        <v>42</v>
      </c>
      <c r="B416" s="100"/>
      <c r="C416" s="100"/>
      <c r="D416" s="100"/>
      <c r="E416" s="100"/>
      <c r="F416" s="100"/>
      <c r="G416" s="100"/>
      <c r="H416" s="100"/>
      <c r="I416" s="100"/>
      <c r="J416" s="100"/>
      <c r="K416" s="100"/>
      <c r="L416" s="100"/>
      <c r="M416" s="100"/>
      <c r="N416" s="100"/>
      <c r="P416" s="179">
        <v>42</v>
      </c>
      <c r="Q416" s="100"/>
      <c r="R416" s="100"/>
      <c r="S416" s="100"/>
      <c r="T416" s="101"/>
      <c r="U416" s="100"/>
      <c r="V416" s="100"/>
      <c r="W416" s="100"/>
      <c r="X416" s="100"/>
      <c r="Y416" s="100"/>
      <c r="Z416" s="100"/>
      <c r="AA416" s="100"/>
      <c r="AB416" s="100"/>
      <c r="AC416" s="100"/>
    </row>
    <row r="417" spans="1:29" x14ac:dyDescent="0.3">
      <c r="A417" s="179">
        <v>48</v>
      </c>
      <c r="B417" s="100"/>
      <c r="C417" s="100"/>
      <c r="D417" s="100"/>
      <c r="E417" s="100"/>
      <c r="F417" s="100"/>
      <c r="G417" s="100"/>
      <c r="H417" s="100"/>
      <c r="I417" s="100"/>
      <c r="J417" s="100"/>
      <c r="K417" s="100"/>
      <c r="L417" s="100"/>
      <c r="M417" s="100"/>
      <c r="N417" s="100"/>
      <c r="P417" s="179">
        <v>48</v>
      </c>
      <c r="Q417" s="100"/>
      <c r="R417" s="100"/>
      <c r="S417" s="100"/>
      <c r="T417" s="101"/>
      <c r="U417" s="100"/>
      <c r="V417" s="100"/>
      <c r="W417" s="100"/>
      <c r="X417" s="100"/>
      <c r="Y417" s="100"/>
      <c r="Z417" s="100"/>
      <c r="AA417" s="100"/>
      <c r="AB417" s="100"/>
      <c r="AC417" s="100"/>
    </row>
    <row r="418" spans="1:29" x14ac:dyDescent="0.3">
      <c r="A418" s="180"/>
      <c r="P418" s="180"/>
      <c r="Q418" s="167"/>
      <c r="R418" s="167"/>
      <c r="S418" s="167"/>
      <c r="T418" s="185"/>
      <c r="U418" s="167"/>
      <c r="V418" s="167"/>
      <c r="W418" s="167"/>
      <c r="X418" s="167"/>
      <c r="Y418" s="167"/>
      <c r="Z418" s="167"/>
      <c r="AA418" s="167"/>
      <c r="AB418" s="167"/>
      <c r="AC418" s="167"/>
    </row>
    <row r="419" spans="1:29" x14ac:dyDescent="0.3">
      <c r="A419" s="184"/>
      <c r="B419" s="184"/>
      <c r="C419" s="184"/>
      <c r="D419" s="184"/>
      <c r="E419" s="184"/>
      <c r="F419" s="184"/>
      <c r="G419" s="184"/>
      <c r="H419" s="184"/>
      <c r="I419" s="184"/>
      <c r="J419" s="184"/>
      <c r="K419" s="184"/>
      <c r="L419" s="184"/>
      <c r="M419" s="184"/>
      <c r="N419" s="184"/>
      <c r="P419" s="184"/>
      <c r="Q419" s="184"/>
      <c r="R419" s="184"/>
      <c r="S419" s="184"/>
      <c r="T419" s="184"/>
      <c r="U419" s="184"/>
      <c r="V419" s="184"/>
      <c r="W419" s="184"/>
      <c r="X419" s="184"/>
      <c r="Y419" s="184"/>
      <c r="Z419" s="184"/>
      <c r="AA419" s="184"/>
      <c r="AB419" s="184"/>
      <c r="AC419" s="184"/>
    </row>
    <row r="420" spans="1:29" ht="20.399999999999999" x14ac:dyDescent="0.3">
      <c r="A420" s="98"/>
      <c r="B420" s="84"/>
      <c r="C420"/>
      <c r="D420" s="102"/>
      <c r="E420" s="103" t="s">
        <v>772</v>
      </c>
      <c r="F420"/>
      <c r="G420"/>
      <c r="H420"/>
      <c r="I420"/>
      <c r="J420"/>
      <c r="K420"/>
      <c r="L420"/>
      <c r="M420"/>
      <c r="N420"/>
    </row>
    <row r="421" spans="1:29" x14ac:dyDescent="0.3">
      <c r="A421" s="86" t="s">
        <v>773</v>
      </c>
      <c r="B421" s="104" t="s">
        <v>707</v>
      </c>
      <c r="C421"/>
      <c r="D421" s="86" t="s">
        <v>774</v>
      </c>
      <c r="E421" s="183" t="s">
        <v>775</v>
      </c>
      <c r="F421"/>
      <c r="G421"/>
      <c r="H421"/>
      <c r="I421"/>
      <c r="J421"/>
      <c r="K421"/>
      <c r="L421"/>
      <c r="M421"/>
      <c r="N421"/>
    </row>
    <row r="422" spans="1:29" x14ac:dyDescent="0.3">
      <c r="A422" s="179" t="s">
        <v>718</v>
      </c>
      <c r="B422" s="104">
        <v>0.42</v>
      </c>
      <c r="C422"/>
      <c r="D422" s="179" t="s">
        <v>718</v>
      </c>
      <c r="E422" s="101">
        <v>0.2</v>
      </c>
      <c r="F422"/>
      <c r="G422"/>
      <c r="H422"/>
      <c r="I422"/>
      <c r="J422"/>
      <c r="K422"/>
      <c r="L422"/>
      <c r="M422"/>
      <c r="N422"/>
    </row>
    <row r="423" spans="1:29" x14ac:dyDescent="0.3">
      <c r="A423" s="179" t="s">
        <v>719</v>
      </c>
      <c r="B423" s="104">
        <v>0.42</v>
      </c>
      <c r="C423"/>
      <c r="D423" s="179" t="s">
        <v>719</v>
      </c>
      <c r="E423" s="101">
        <v>0.2</v>
      </c>
      <c r="F423"/>
      <c r="G423"/>
      <c r="H423"/>
      <c r="I423"/>
      <c r="J423"/>
      <c r="K423"/>
      <c r="L423"/>
      <c r="M423"/>
      <c r="N423"/>
    </row>
    <row r="424" spans="1:29" x14ac:dyDescent="0.3">
      <c r="A424" s="179">
        <v>1</v>
      </c>
      <c r="B424" s="104">
        <v>0.45</v>
      </c>
      <c r="C424"/>
      <c r="D424" s="179">
        <v>1</v>
      </c>
      <c r="E424" s="101">
        <v>0.22</v>
      </c>
      <c r="F424"/>
      <c r="G424"/>
      <c r="H424"/>
      <c r="I424"/>
      <c r="J424"/>
      <c r="K424"/>
      <c r="L424"/>
      <c r="M424"/>
      <c r="N424"/>
    </row>
    <row r="425" spans="1:29" x14ac:dyDescent="0.3">
      <c r="A425" s="179" t="s">
        <v>720</v>
      </c>
      <c r="B425" s="104">
        <v>0.49</v>
      </c>
      <c r="C425"/>
      <c r="D425" s="179" t="s">
        <v>720</v>
      </c>
      <c r="E425" s="101">
        <v>0.23</v>
      </c>
      <c r="F425"/>
      <c r="G425"/>
      <c r="H425"/>
      <c r="I425"/>
      <c r="J425"/>
      <c r="K425"/>
      <c r="L425"/>
      <c r="M425"/>
      <c r="N425"/>
    </row>
    <row r="426" spans="1:29" x14ac:dyDescent="0.3">
      <c r="A426" s="179">
        <v>2</v>
      </c>
      <c r="B426" s="104">
        <v>0.52</v>
      </c>
      <c r="C426"/>
      <c r="D426" s="179">
        <v>2</v>
      </c>
      <c r="E426" s="101">
        <v>0.24</v>
      </c>
      <c r="F426"/>
      <c r="G426"/>
      <c r="H426"/>
      <c r="I426"/>
      <c r="J426"/>
      <c r="K426"/>
      <c r="L426"/>
      <c r="M426"/>
      <c r="N426"/>
    </row>
    <row r="427" spans="1:29" x14ac:dyDescent="0.3">
      <c r="A427" s="179" t="s">
        <v>721</v>
      </c>
      <c r="B427" s="104">
        <v>0.55000000000000004</v>
      </c>
      <c r="C427"/>
      <c r="D427" s="179" t="s">
        <v>721</v>
      </c>
      <c r="E427" s="101">
        <v>0.27</v>
      </c>
      <c r="F427"/>
      <c r="G427"/>
      <c r="H427"/>
      <c r="I427"/>
      <c r="J427"/>
      <c r="K427"/>
      <c r="L427"/>
      <c r="M427"/>
      <c r="N427"/>
    </row>
    <row r="428" spans="1:29" x14ac:dyDescent="0.3">
      <c r="A428" s="179">
        <v>3</v>
      </c>
      <c r="B428" s="104">
        <v>0.64</v>
      </c>
      <c r="C428"/>
      <c r="D428" s="179">
        <v>3</v>
      </c>
      <c r="E428" s="101">
        <v>0.28000000000000003</v>
      </c>
      <c r="F428"/>
      <c r="G428"/>
      <c r="H428"/>
      <c r="I428"/>
      <c r="J428"/>
      <c r="K428"/>
      <c r="L428"/>
      <c r="M428"/>
      <c r="N428"/>
    </row>
    <row r="429" spans="1:29" x14ac:dyDescent="0.3">
      <c r="A429" s="179">
        <v>4</v>
      </c>
      <c r="B429" s="104">
        <v>0.71</v>
      </c>
      <c r="C429"/>
      <c r="D429" s="179">
        <v>4</v>
      </c>
      <c r="E429" s="101">
        <v>0.31</v>
      </c>
      <c r="F429"/>
      <c r="G429"/>
      <c r="H429"/>
      <c r="I429"/>
      <c r="J429"/>
      <c r="K429"/>
      <c r="L429"/>
      <c r="M429"/>
      <c r="N429"/>
    </row>
    <row r="430" spans="1:29" x14ac:dyDescent="0.3">
      <c r="A430" s="179">
        <v>6</v>
      </c>
      <c r="B430" s="104">
        <v>0.86</v>
      </c>
      <c r="C430"/>
      <c r="D430" s="179">
        <v>6</v>
      </c>
      <c r="E430" s="101">
        <v>0.37</v>
      </c>
      <c r="F430"/>
      <c r="G430"/>
      <c r="H430"/>
      <c r="I430"/>
      <c r="J430"/>
      <c r="K430"/>
      <c r="L430"/>
      <c r="M430"/>
      <c r="N430"/>
    </row>
    <row r="431" spans="1:29" x14ac:dyDescent="0.3">
      <c r="A431" s="179">
        <v>8</v>
      </c>
      <c r="B431" s="104">
        <v>0.97</v>
      </c>
      <c r="C431"/>
      <c r="D431" s="179">
        <v>8</v>
      </c>
      <c r="E431" s="101">
        <v>0.41</v>
      </c>
      <c r="F431"/>
      <c r="G431"/>
      <c r="H431"/>
      <c r="I431"/>
      <c r="J431"/>
      <c r="K431"/>
      <c r="L431"/>
      <c r="M431"/>
      <c r="N431"/>
    </row>
    <row r="432" spans="1:29" x14ac:dyDescent="0.3">
      <c r="A432" s="179">
        <v>10</v>
      </c>
      <c r="B432" s="104">
        <v>1.1100000000000001</v>
      </c>
      <c r="C432"/>
      <c r="D432" s="179">
        <v>10</v>
      </c>
      <c r="E432" s="101">
        <v>0.48</v>
      </c>
      <c r="F432"/>
      <c r="G432"/>
      <c r="H432"/>
      <c r="I432"/>
      <c r="J432"/>
      <c r="K432"/>
      <c r="L432"/>
      <c r="M432"/>
      <c r="N432"/>
    </row>
    <row r="433" spans="1:14" x14ac:dyDescent="0.3">
      <c r="A433" s="179">
        <v>12</v>
      </c>
      <c r="B433" s="104">
        <v>1.21</v>
      </c>
      <c r="C433"/>
      <c r="D433" s="179">
        <v>12</v>
      </c>
      <c r="E433" s="101">
        <v>0.52</v>
      </c>
      <c r="F433"/>
      <c r="G433"/>
      <c r="H433"/>
      <c r="I433"/>
      <c r="J433"/>
      <c r="K433"/>
      <c r="L433"/>
      <c r="M433"/>
      <c r="N433"/>
    </row>
    <row r="434" spans="1:14" x14ac:dyDescent="0.3">
      <c r="A434" s="179">
        <v>14</v>
      </c>
      <c r="B434" s="104">
        <v>1.35</v>
      </c>
      <c r="C434"/>
      <c r="D434" s="179">
        <v>14</v>
      </c>
      <c r="E434" s="101">
        <v>0.57999999999999996</v>
      </c>
      <c r="F434"/>
      <c r="G434"/>
      <c r="H434"/>
      <c r="I434"/>
      <c r="J434"/>
      <c r="K434"/>
      <c r="L434"/>
      <c r="M434"/>
      <c r="N434"/>
    </row>
    <row r="435" spans="1:14" x14ac:dyDescent="0.3">
      <c r="A435" s="179">
        <v>16</v>
      </c>
      <c r="B435" s="104">
        <v>1.47</v>
      </c>
      <c r="C435"/>
      <c r="D435" s="179">
        <v>16</v>
      </c>
      <c r="E435" s="101">
        <v>0.63</v>
      </c>
      <c r="F435"/>
      <c r="G435"/>
      <c r="H435"/>
      <c r="I435"/>
      <c r="J435"/>
      <c r="K435"/>
      <c r="L435"/>
      <c r="M435"/>
      <c r="N435"/>
    </row>
    <row r="436" spans="1:14" x14ac:dyDescent="0.3">
      <c r="A436" s="179">
        <v>18</v>
      </c>
      <c r="B436" s="104">
        <v>1.61</v>
      </c>
      <c r="C436"/>
      <c r="D436" s="179">
        <v>18</v>
      </c>
      <c r="E436" s="101">
        <v>0.69</v>
      </c>
      <c r="F436"/>
      <c r="G436"/>
      <c r="H436"/>
      <c r="I436"/>
      <c r="J436"/>
      <c r="K436"/>
      <c r="L436"/>
      <c r="M436"/>
      <c r="N436"/>
    </row>
    <row r="437" spans="1:14" x14ac:dyDescent="0.3">
      <c r="A437" s="179">
        <v>20</v>
      </c>
      <c r="B437" s="104">
        <v>1.71</v>
      </c>
      <c r="C437"/>
      <c r="D437" s="179">
        <v>20</v>
      </c>
      <c r="E437" s="101">
        <v>0.73</v>
      </c>
      <c r="F437"/>
      <c r="G437"/>
      <c r="H437"/>
      <c r="I437"/>
      <c r="J437"/>
      <c r="K437"/>
      <c r="L437"/>
      <c r="M437"/>
      <c r="N437"/>
    </row>
    <row r="438" spans="1:14" x14ac:dyDescent="0.3">
      <c r="A438" s="179">
        <v>24</v>
      </c>
      <c r="B438" s="104">
        <v>2.33</v>
      </c>
      <c r="C438"/>
      <c r="D438" s="179">
        <v>24</v>
      </c>
      <c r="E438" s="101">
        <v>0.92</v>
      </c>
      <c r="F438"/>
      <c r="G438"/>
      <c r="H438"/>
      <c r="I438"/>
      <c r="J438"/>
      <c r="K438"/>
      <c r="L438"/>
      <c r="M438"/>
      <c r="N438"/>
    </row>
    <row r="439" spans="1:14" x14ac:dyDescent="0.3">
      <c r="A439" s="179">
        <v>26</v>
      </c>
      <c r="B439" s="104">
        <v>2.38</v>
      </c>
      <c r="C439"/>
      <c r="D439" s="179">
        <v>26</v>
      </c>
      <c r="E439" s="101">
        <v>0.94</v>
      </c>
      <c r="F439"/>
      <c r="G439"/>
      <c r="H439"/>
      <c r="I439"/>
      <c r="J439"/>
      <c r="K439"/>
      <c r="L439"/>
      <c r="M439"/>
      <c r="N439"/>
    </row>
    <row r="440" spans="1:14" x14ac:dyDescent="0.3">
      <c r="A440" s="179">
        <v>28</v>
      </c>
      <c r="B440" s="104">
        <v>2.44</v>
      </c>
      <c r="C440"/>
      <c r="D440" s="179">
        <v>28</v>
      </c>
      <c r="E440" s="101">
        <v>0.96</v>
      </c>
      <c r="F440"/>
      <c r="G440"/>
      <c r="H440"/>
      <c r="I440"/>
      <c r="J440"/>
      <c r="K440"/>
      <c r="L440"/>
      <c r="M440"/>
      <c r="N440"/>
    </row>
    <row r="441" spans="1:14" x14ac:dyDescent="0.3">
      <c r="A441" s="179">
        <v>30</v>
      </c>
      <c r="B441" s="104">
        <v>2.4900000000000002</v>
      </c>
      <c r="C441"/>
      <c r="D441" s="179">
        <v>30</v>
      </c>
      <c r="E441" s="101">
        <v>0.98</v>
      </c>
      <c r="F441"/>
      <c r="G441"/>
      <c r="H441"/>
      <c r="I441"/>
      <c r="J441"/>
      <c r="K441"/>
      <c r="L441"/>
      <c r="M441"/>
      <c r="N441"/>
    </row>
    <row r="442" spans="1:14" x14ac:dyDescent="0.3">
      <c r="A442" s="179">
        <v>32</v>
      </c>
      <c r="B442" s="104">
        <v>2.54</v>
      </c>
      <c r="C442"/>
      <c r="D442" s="179">
        <v>32</v>
      </c>
      <c r="E442" s="101">
        <v>1</v>
      </c>
      <c r="F442"/>
      <c r="G442"/>
      <c r="H442"/>
      <c r="I442"/>
      <c r="J442"/>
      <c r="K442"/>
      <c r="L442"/>
      <c r="M442"/>
      <c r="N442"/>
    </row>
    <row r="443" spans="1:14" x14ac:dyDescent="0.3">
      <c r="A443" s="179">
        <v>36</v>
      </c>
      <c r="B443" s="104">
        <v>2.64</v>
      </c>
      <c r="C443"/>
      <c r="D443" s="179">
        <v>36</v>
      </c>
      <c r="E443" s="100">
        <v>1.04</v>
      </c>
      <c r="F443"/>
      <c r="G443"/>
      <c r="H443"/>
      <c r="I443"/>
      <c r="J443"/>
      <c r="K443"/>
      <c r="L443"/>
      <c r="M443"/>
      <c r="N443"/>
    </row>
    <row r="444" spans="1:14" x14ac:dyDescent="0.3">
      <c r="A444" s="179">
        <v>42</v>
      </c>
      <c r="B444" s="104">
        <v>2.8</v>
      </c>
      <c r="C444"/>
      <c r="D444" s="179">
        <v>42</v>
      </c>
      <c r="E444" s="100">
        <v>1.1000000000000001</v>
      </c>
      <c r="F444"/>
      <c r="G444"/>
      <c r="H444"/>
      <c r="I444"/>
      <c r="J444"/>
      <c r="K444"/>
      <c r="L444"/>
      <c r="M444"/>
      <c r="N444"/>
    </row>
    <row r="445" spans="1:14" x14ac:dyDescent="0.3">
      <c r="A445" s="179">
        <v>48</v>
      </c>
      <c r="B445" s="104">
        <v>2.95</v>
      </c>
      <c r="C445"/>
      <c r="D445" s="179">
        <v>48</v>
      </c>
      <c r="E445" s="100">
        <v>1.1599999999999999</v>
      </c>
      <c r="F445"/>
      <c r="G445"/>
      <c r="H445"/>
      <c r="I445"/>
      <c r="J445"/>
      <c r="K445"/>
      <c r="L445"/>
      <c r="M445"/>
      <c r="N445"/>
    </row>
    <row r="446" spans="1:14" x14ac:dyDescent="0.3">
      <c r="A446" s="83"/>
      <c r="B446" s="84"/>
      <c r="C446"/>
      <c r="D446"/>
      <c r="E446"/>
      <c r="F446"/>
      <c r="G446"/>
      <c r="H446"/>
      <c r="I446"/>
      <c r="J446"/>
      <c r="K446"/>
      <c r="L446"/>
      <c r="M446"/>
      <c r="N446"/>
    </row>
    <row r="447" spans="1:14" x14ac:dyDescent="0.3">
      <c r="A447" s="86" t="s">
        <v>776</v>
      </c>
      <c r="B447" s="104" t="s">
        <v>707</v>
      </c>
      <c r="C447"/>
      <c r="D447"/>
      <c r="E447"/>
      <c r="F447"/>
      <c r="G447"/>
      <c r="H447"/>
      <c r="I447"/>
      <c r="J447"/>
      <c r="K447"/>
      <c r="L447"/>
      <c r="M447"/>
      <c r="N447"/>
    </row>
    <row r="448" spans="1:14" x14ac:dyDescent="0.3">
      <c r="A448" s="179" t="s">
        <v>718</v>
      </c>
      <c r="B448" s="104">
        <v>0.3</v>
      </c>
      <c r="C448"/>
      <c r="D448"/>
      <c r="E448"/>
      <c r="F448"/>
      <c r="G448"/>
      <c r="H448"/>
      <c r="I448"/>
      <c r="J448"/>
      <c r="K448"/>
      <c r="L448"/>
      <c r="M448"/>
      <c r="N448"/>
    </row>
    <row r="449" spans="1:14" x14ac:dyDescent="0.3">
      <c r="A449" s="179" t="s">
        <v>719</v>
      </c>
      <c r="B449" s="104">
        <v>0.3</v>
      </c>
      <c r="C449"/>
      <c r="D449"/>
      <c r="E449"/>
      <c r="F449"/>
      <c r="G449"/>
      <c r="H449"/>
      <c r="I449"/>
      <c r="J449"/>
      <c r="K449"/>
      <c r="L449"/>
      <c r="M449"/>
      <c r="N449"/>
    </row>
    <row r="450" spans="1:14" x14ac:dyDescent="0.3">
      <c r="A450" s="179">
        <v>1</v>
      </c>
      <c r="B450" s="104">
        <v>0.32</v>
      </c>
      <c r="C450"/>
      <c r="D450"/>
      <c r="E450"/>
      <c r="F450"/>
      <c r="G450"/>
      <c r="H450"/>
      <c r="I450"/>
      <c r="J450"/>
      <c r="K450"/>
      <c r="L450"/>
      <c r="M450"/>
      <c r="N450"/>
    </row>
    <row r="451" spans="1:14" x14ac:dyDescent="0.3">
      <c r="A451" s="179" t="s">
        <v>720</v>
      </c>
      <c r="B451" s="104">
        <v>0.36</v>
      </c>
      <c r="C451"/>
      <c r="D451"/>
      <c r="E451"/>
      <c r="F451"/>
      <c r="G451"/>
      <c r="H451"/>
      <c r="I451"/>
      <c r="J451"/>
      <c r="K451"/>
      <c r="L451"/>
      <c r="M451"/>
      <c r="N451"/>
    </row>
    <row r="452" spans="1:14" x14ac:dyDescent="0.3">
      <c r="A452" s="179">
        <v>2</v>
      </c>
      <c r="B452" s="104">
        <v>0.39</v>
      </c>
      <c r="C452"/>
      <c r="D452"/>
      <c r="E452"/>
      <c r="F452"/>
      <c r="G452"/>
      <c r="H452"/>
      <c r="I452"/>
      <c r="J452"/>
      <c r="K452"/>
      <c r="L452"/>
      <c r="M452"/>
      <c r="N452"/>
    </row>
    <row r="453" spans="1:14" x14ac:dyDescent="0.3">
      <c r="A453" s="179" t="s">
        <v>721</v>
      </c>
      <c r="B453" s="104">
        <v>0.41</v>
      </c>
      <c r="C453"/>
      <c r="D453"/>
      <c r="E453"/>
      <c r="F453"/>
      <c r="G453"/>
      <c r="H453"/>
      <c r="I453"/>
      <c r="J453"/>
      <c r="K453"/>
      <c r="L453"/>
      <c r="M453"/>
      <c r="N453"/>
    </row>
    <row r="454" spans="1:14" x14ac:dyDescent="0.3">
      <c r="A454" s="179">
        <v>3</v>
      </c>
      <c r="B454" s="104">
        <v>0.47</v>
      </c>
      <c r="C454"/>
      <c r="D454"/>
      <c r="E454"/>
      <c r="F454"/>
      <c r="G454"/>
      <c r="H454"/>
      <c r="I454"/>
      <c r="J454"/>
      <c r="K454"/>
      <c r="L454"/>
      <c r="M454"/>
      <c r="N454"/>
    </row>
    <row r="455" spans="1:14" x14ac:dyDescent="0.3">
      <c r="A455" s="179">
        <v>4</v>
      </c>
      <c r="B455" s="104">
        <v>0.5</v>
      </c>
      <c r="C455"/>
      <c r="D455"/>
      <c r="E455"/>
      <c r="F455"/>
      <c r="G455"/>
      <c r="H455"/>
      <c r="I455"/>
      <c r="J455"/>
      <c r="K455"/>
      <c r="L455"/>
      <c r="M455"/>
      <c r="N455"/>
    </row>
    <row r="456" spans="1:14" x14ac:dyDescent="0.3">
      <c r="A456" s="179">
        <v>6</v>
      </c>
      <c r="B456" s="104">
        <v>0.56999999999999995</v>
      </c>
      <c r="C456"/>
      <c r="D456"/>
      <c r="E456"/>
      <c r="F456"/>
      <c r="G456"/>
      <c r="H456"/>
      <c r="I456"/>
      <c r="J456"/>
      <c r="K456"/>
      <c r="L456"/>
      <c r="M456"/>
      <c r="N456"/>
    </row>
    <row r="457" spans="1:14" x14ac:dyDescent="0.3">
      <c r="A457" s="179">
        <v>8</v>
      </c>
      <c r="B457" s="104">
        <v>0.64</v>
      </c>
      <c r="C457"/>
      <c r="D457"/>
      <c r="E457"/>
      <c r="F457"/>
      <c r="G457"/>
      <c r="H457"/>
      <c r="I457"/>
      <c r="J457"/>
      <c r="K457"/>
      <c r="L457"/>
      <c r="M457"/>
      <c r="N457"/>
    </row>
    <row r="458" spans="1:14" x14ac:dyDescent="0.3">
      <c r="A458" s="179">
        <v>10</v>
      </c>
      <c r="B458" s="104">
        <v>0.71</v>
      </c>
      <c r="C458"/>
      <c r="D458"/>
      <c r="E458"/>
      <c r="F458"/>
      <c r="G458"/>
      <c r="H458"/>
      <c r="I458"/>
      <c r="J458"/>
      <c r="K458"/>
      <c r="L458"/>
      <c r="M458"/>
      <c r="N458"/>
    </row>
    <row r="459" spans="1:14" x14ac:dyDescent="0.3">
      <c r="A459" s="179">
        <v>12</v>
      </c>
      <c r="B459" s="104">
        <v>0.78</v>
      </c>
      <c r="C459"/>
      <c r="D459"/>
      <c r="E459"/>
      <c r="F459"/>
      <c r="G459"/>
      <c r="H459"/>
      <c r="I459"/>
      <c r="J459"/>
      <c r="K459"/>
      <c r="L459"/>
      <c r="M459"/>
      <c r="N459"/>
    </row>
    <row r="460" spans="1:14" x14ac:dyDescent="0.3">
      <c r="A460" s="179">
        <v>14</v>
      </c>
      <c r="B460" s="104">
        <v>0.86</v>
      </c>
      <c r="C460"/>
      <c r="D460"/>
      <c r="E460"/>
      <c r="F460"/>
      <c r="G460"/>
      <c r="H460"/>
      <c r="I460"/>
      <c r="J460"/>
      <c r="K460"/>
      <c r="L460"/>
      <c r="M460"/>
      <c r="N460"/>
    </row>
    <row r="461" spans="1:14" x14ac:dyDescent="0.3">
      <c r="A461" s="179">
        <v>16</v>
      </c>
      <c r="B461" s="104">
        <v>0.93</v>
      </c>
      <c r="C461"/>
      <c r="D461"/>
      <c r="E461"/>
      <c r="F461"/>
      <c r="G461"/>
      <c r="H461"/>
      <c r="I461"/>
      <c r="J461"/>
      <c r="K461"/>
      <c r="L461"/>
      <c r="M461"/>
      <c r="N461"/>
    </row>
    <row r="462" spans="1:14" x14ac:dyDescent="0.3">
      <c r="A462" s="179">
        <v>18</v>
      </c>
      <c r="B462" s="104">
        <v>1</v>
      </c>
      <c r="C462"/>
      <c r="D462"/>
      <c r="E462"/>
      <c r="F462"/>
      <c r="G462"/>
      <c r="H462"/>
      <c r="I462"/>
      <c r="J462"/>
      <c r="K462"/>
      <c r="L462"/>
      <c r="M462"/>
      <c r="N462"/>
    </row>
    <row r="463" spans="1:14" x14ac:dyDescent="0.3">
      <c r="A463" s="179">
        <v>20</v>
      </c>
      <c r="B463" s="104">
        <v>1.07</v>
      </c>
      <c r="C463"/>
      <c r="D463"/>
      <c r="E463"/>
      <c r="F463"/>
      <c r="G463"/>
      <c r="H463"/>
      <c r="I463"/>
      <c r="J463"/>
      <c r="K463"/>
      <c r="L463"/>
      <c r="M463"/>
      <c r="N463"/>
    </row>
    <row r="464" spans="1:14" x14ac:dyDescent="0.3">
      <c r="A464" s="179">
        <v>24</v>
      </c>
      <c r="B464" s="104">
        <v>1.71</v>
      </c>
      <c r="C464"/>
      <c r="D464"/>
      <c r="E464"/>
      <c r="F464"/>
      <c r="G464"/>
      <c r="H464"/>
      <c r="I464"/>
      <c r="J464"/>
      <c r="K464"/>
      <c r="L464"/>
      <c r="M464"/>
      <c r="N464"/>
    </row>
    <row r="465" spans="1:14" x14ac:dyDescent="0.3">
      <c r="A465" s="179">
        <v>26</v>
      </c>
      <c r="B465" s="104">
        <v>1.74</v>
      </c>
      <c r="C465"/>
      <c r="D465"/>
      <c r="E465"/>
      <c r="F465"/>
      <c r="G465"/>
      <c r="H465"/>
      <c r="I465"/>
      <c r="J465"/>
      <c r="K465"/>
      <c r="L465"/>
      <c r="M465"/>
      <c r="N465"/>
    </row>
    <row r="466" spans="1:14" x14ac:dyDescent="0.3">
      <c r="A466" s="179">
        <v>28</v>
      </c>
      <c r="B466" s="104">
        <v>1.76</v>
      </c>
      <c r="C466"/>
      <c r="D466"/>
      <c r="E466"/>
      <c r="F466"/>
      <c r="G466"/>
      <c r="H466"/>
      <c r="I466"/>
      <c r="J466"/>
      <c r="K466"/>
      <c r="L466"/>
      <c r="M466"/>
      <c r="N466"/>
    </row>
    <row r="467" spans="1:14" x14ac:dyDescent="0.3">
      <c r="A467" s="179">
        <v>30</v>
      </c>
      <c r="B467" s="104">
        <v>1.79</v>
      </c>
      <c r="C467"/>
      <c r="D467"/>
      <c r="E467"/>
      <c r="F467"/>
      <c r="G467"/>
      <c r="H467"/>
      <c r="I467"/>
      <c r="J467"/>
      <c r="K467"/>
      <c r="L467"/>
      <c r="M467"/>
      <c r="N467"/>
    </row>
    <row r="468" spans="1:14" x14ac:dyDescent="0.3">
      <c r="A468" s="179">
        <v>32</v>
      </c>
      <c r="B468" s="104">
        <v>1.81</v>
      </c>
      <c r="C468"/>
      <c r="D468"/>
      <c r="E468"/>
      <c r="F468"/>
      <c r="G468"/>
      <c r="H468"/>
      <c r="I468"/>
      <c r="J468"/>
      <c r="K468"/>
      <c r="L468"/>
      <c r="M468"/>
      <c r="N468"/>
    </row>
    <row r="469" spans="1:14" x14ac:dyDescent="0.3">
      <c r="A469" s="179">
        <v>36</v>
      </c>
      <c r="B469" s="104">
        <v>1.87</v>
      </c>
      <c r="C469"/>
      <c r="D469"/>
      <c r="E469"/>
      <c r="F469"/>
      <c r="G469"/>
      <c r="H469"/>
      <c r="I469"/>
      <c r="J469"/>
      <c r="K469"/>
      <c r="L469"/>
      <c r="M469"/>
      <c r="N469"/>
    </row>
    <row r="470" spans="1:14" x14ac:dyDescent="0.3">
      <c r="A470" s="179">
        <v>42</v>
      </c>
      <c r="B470" s="104">
        <v>1.94</v>
      </c>
      <c r="C470"/>
      <c r="D470"/>
      <c r="E470"/>
      <c r="F470"/>
      <c r="G470"/>
      <c r="H470"/>
      <c r="I470"/>
      <c r="J470"/>
      <c r="K470"/>
      <c r="L470"/>
      <c r="M470"/>
      <c r="N470"/>
    </row>
    <row r="471" spans="1:14" x14ac:dyDescent="0.3">
      <c r="A471" s="179">
        <v>48</v>
      </c>
      <c r="B471" s="104">
        <v>2.02</v>
      </c>
      <c r="C471"/>
      <c r="D471"/>
      <c r="E471"/>
      <c r="F471"/>
      <c r="G471"/>
      <c r="H471"/>
      <c r="I471"/>
      <c r="J471"/>
      <c r="K471"/>
      <c r="L471"/>
      <c r="M471"/>
      <c r="N471"/>
    </row>
    <row r="472" spans="1:14" x14ac:dyDescent="0.3">
      <c r="A472" s="83"/>
      <c r="B472" s="84"/>
      <c r="C472"/>
      <c r="D472"/>
      <c r="E472" s="105"/>
      <c r="F472"/>
      <c r="G472"/>
      <c r="H472"/>
      <c r="I472"/>
      <c r="J472"/>
      <c r="K472"/>
      <c r="L472"/>
      <c r="M472"/>
      <c r="N472"/>
    </row>
    <row r="473" spans="1:14" x14ac:dyDescent="0.3">
      <c r="A473" s="86" t="s">
        <v>777</v>
      </c>
      <c r="B473" s="104" t="s">
        <v>707</v>
      </c>
      <c r="C473"/>
      <c r="D473" s="86" t="s">
        <v>778</v>
      </c>
      <c r="E473" s="183" t="s">
        <v>779</v>
      </c>
      <c r="F473"/>
      <c r="G473"/>
      <c r="H473"/>
      <c r="I473"/>
      <c r="J473"/>
      <c r="K473"/>
      <c r="L473"/>
      <c r="M473"/>
      <c r="N473"/>
    </row>
    <row r="474" spans="1:14" x14ac:dyDescent="0.3">
      <c r="A474" s="179" t="s">
        <v>718</v>
      </c>
      <c r="B474" s="104">
        <v>0.26</v>
      </c>
      <c r="C474"/>
      <c r="D474" s="179" t="s">
        <v>718</v>
      </c>
      <c r="E474" s="101">
        <v>0.18</v>
      </c>
      <c r="F474"/>
      <c r="G474"/>
      <c r="H474"/>
      <c r="I474"/>
      <c r="J474"/>
      <c r="K474"/>
      <c r="L474"/>
      <c r="M474"/>
      <c r="N474"/>
    </row>
    <row r="475" spans="1:14" x14ac:dyDescent="0.3">
      <c r="A475" s="179" t="s">
        <v>719</v>
      </c>
      <c r="B475" s="104">
        <v>0.26</v>
      </c>
      <c r="C475"/>
      <c r="D475" s="179" t="s">
        <v>719</v>
      </c>
      <c r="E475" s="101">
        <v>0.18</v>
      </c>
      <c r="F475"/>
      <c r="G475"/>
      <c r="H475"/>
      <c r="I475"/>
      <c r="J475"/>
      <c r="K475"/>
      <c r="L475"/>
      <c r="M475"/>
      <c r="N475"/>
    </row>
    <row r="476" spans="1:14" x14ac:dyDescent="0.3">
      <c r="A476" s="179">
        <v>1</v>
      </c>
      <c r="B476" s="104">
        <v>0.3</v>
      </c>
      <c r="C476"/>
      <c r="D476" s="179">
        <v>1</v>
      </c>
      <c r="E476" s="101">
        <v>0.21</v>
      </c>
      <c r="F476"/>
      <c r="G476"/>
      <c r="H476"/>
      <c r="I476"/>
      <c r="J476"/>
      <c r="K476"/>
      <c r="L476"/>
      <c r="M476"/>
      <c r="N476"/>
    </row>
    <row r="477" spans="1:14" x14ac:dyDescent="0.3">
      <c r="A477" s="179" t="s">
        <v>720</v>
      </c>
      <c r="B477" s="104">
        <v>0.32</v>
      </c>
      <c r="C477"/>
      <c r="D477" s="179" t="s">
        <v>720</v>
      </c>
      <c r="E477" s="101">
        <v>0.23</v>
      </c>
      <c r="F477"/>
      <c r="G477"/>
      <c r="H477"/>
      <c r="I477"/>
      <c r="J477"/>
      <c r="K477"/>
      <c r="L477"/>
      <c r="M477"/>
      <c r="N477"/>
    </row>
    <row r="478" spans="1:14" x14ac:dyDescent="0.3">
      <c r="A478" s="179">
        <v>2</v>
      </c>
      <c r="B478" s="104">
        <v>0.36</v>
      </c>
      <c r="C478"/>
      <c r="D478" s="179">
        <v>2</v>
      </c>
      <c r="E478" s="101">
        <v>0.26</v>
      </c>
      <c r="F478"/>
      <c r="G478"/>
      <c r="H478"/>
      <c r="I478"/>
      <c r="J478"/>
      <c r="K478"/>
      <c r="L478"/>
      <c r="M478"/>
      <c r="N478"/>
    </row>
    <row r="479" spans="1:14" x14ac:dyDescent="0.3">
      <c r="A479" s="179" t="s">
        <v>721</v>
      </c>
      <c r="B479" s="104">
        <v>0.4</v>
      </c>
      <c r="C479"/>
      <c r="D479" s="179" t="s">
        <v>721</v>
      </c>
      <c r="E479" s="101">
        <v>0.28000000000000003</v>
      </c>
      <c r="F479"/>
      <c r="G479"/>
      <c r="H479"/>
      <c r="I479"/>
      <c r="J479"/>
      <c r="K479"/>
      <c r="L479"/>
      <c r="M479"/>
      <c r="N479"/>
    </row>
    <row r="480" spans="1:14" x14ac:dyDescent="0.3">
      <c r="A480" s="179">
        <v>3</v>
      </c>
      <c r="B480" s="104">
        <v>0.42</v>
      </c>
      <c r="C480"/>
      <c r="D480" s="179">
        <v>3</v>
      </c>
      <c r="E480" s="101">
        <v>0.3</v>
      </c>
      <c r="F480"/>
      <c r="G480"/>
      <c r="H480"/>
      <c r="I480"/>
      <c r="J480"/>
      <c r="K480"/>
      <c r="L480"/>
      <c r="M480"/>
      <c r="N480"/>
    </row>
    <row r="481" spans="1:14" x14ac:dyDescent="0.3">
      <c r="A481" s="179">
        <v>4</v>
      </c>
      <c r="B481" s="104">
        <v>0.49</v>
      </c>
      <c r="C481"/>
      <c r="D481" s="179">
        <v>4</v>
      </c>
      <c r="E481" s="101">
        <v>0.35</v>
      </c>
      <c r="F481"/>
      <c r="G481"/>
      <c r="H481"/>
      <c r="I481"/>
      <c r="J481"/>
      <c r="K481"/>
      <c r="L481"/>
      <c r="M481"/>
      <c r="N481"/>
    </row>
    <row r="482" spans="1:14" x14ac:dyDescent="0.3">
      <c r="A482" s="179">
        <v>6</v>
      </c>
      <c r="B482" s="104">
        <v>0.81</v>
      </c>
      <c r="C482"/>
      <c r="D482" s="179">
        <v>6</v>
      </c>
      <c r="E482" s="101">
        <v>0.57999999999999996</v>
      </c>
      <c r="F482"/>
      <c r="G482"/>
      <c r="H482"/>
      <c r="I482"/>
      <c r="J482"/>
      <c r="K482"/>
      <c r="L482"/>
      <c r="M482"/>
      <c r="N482"/>
    </row>
    <row r="483" spans="1:14" x14ac:dyDescent="0.3">
      <c r="A483" s="179">
        <v>8</v>
      </c>
      <c r="B483" s="104">
        <v>1.79</v>
      </c>
      <c r="C483"/>
      <c r="D483" s="179">
        <v>8</v>
      </c>
      <c r="E483" s="101">
        <v>1.26</v>
      </c>
      <c r="F483"/>
      <c r="G483"/>
      <c r="H483"/>
      <c r="I483"/>
      <c r="J483"/>
      <c r="K483"/>
      <c r="L483"/>
      <c r="M483"/>
      <c r="N483"/>
    </row>
    <row r="484" spans="1:14" x14ac:dyDescent="0.3">
      <c r="A484" s="179">
        <v>10</v>
      </c>
      <c r="B484" s="104">
        <v>2.4300000000000002</v>
      </c>
      <c r="C484"/>
      <c r="D484" s="179">
        <v>10</v>
      </c>
      <c r="E484" s="101">
        <v>1.73</v>
      </c>
      <c r="F484"/>
      <c r="G484"/>
      <c r="H484"/>
      <c r="I484"/>
      <c r="J484"/>
      <c r="K484"/>
      <c r="L484"/>
      <c r="M484"/>
      <c r="N484"/>
    </row>
    <row r="485" spans="1:14" x14ac:dyDescent="0.3">
      <c r="A485" s="179">
        <v>12</v>
      </c>
      <c r="B485" s="104">
        <v>3.24</v>
      </c>
      <c r="C485"/>
      <c r="D485" s="179">
        <v>12</v>
      </c>
      <c r="E485" s="101">
        <v>2.2999999999999998</v>
      </c>
      <c r="F485"/>
      <c r="G485"/>
      <c r="H485"/>
      <c r="I485"/>
      <c r="J485"/>
      <c r="K485"/>
      <c r="L485"/>
      <c r="M485"/>
      <c r="N485"/>
    </row>
    <row r="486" spans="1:14" x14ac:dyDescent="0.3">
      <c r="A486" s="179">
        <v>14</v>
      </c>
      <c r="B486" s="104">
        <v>4.05</v>
      </c>
      <c r="C486"/>
      <c r="D486" s="179">
        <v>14</v>
      </c>
      <c r="E486" s="101">
        <v>2.88</v>
      </c>
      <c r="F486"/>
      <c r="G486"/>
      <c r="H486"/>
      <c r="I486"/>
      <c r="J486"/>
      <c r="K486"/>
      <c r="L486"/>
      <c r="M486"/>
      <c r="N486"/>
    </row>
    <row r="487" spans="1:14" x14ac:dyDescent="0.3">
      <c r="A487" s="179">
        <v>16</v>
      </c>
      <c r="B487" s="104">
        <v>4.8600000000000003</v>
      </c>
      <c r="C487"/>
      <c r="D487" s="179">
        <v>16</v>
      </c>
      <c r="E487" s="101">
        <v>3.44</v>
      </c>
      <c r="F487"/>
      <c r="G487"/>
      <c r="H487"/>
      <c r="I487"/>
      <c r="J487"/>
      <c r="K487"/>
      <c r="L487"/>
      <c r="M487"/>
      <c r="N487"/>
    </row>
    <row r="488" spans="1:14" x14ac:dyDescent="0.3">
      <c r="A488" s="179">
        <v>18</v>
      </c>
      <c r="B488" s="104">
        <v>5.67</v>
      </c>
      <c r="C488"/>
      <c r="D488" s="179">
        <v>18</v>
      </c>
      <c r="E488" s="101">
        <v>4.0199999999999996</v>
      </c>
      <c r="F488"/>
      <c r="G488"/>
      <c r="H488"/>
      <c r="I488"/>
      <c r="J488"/>
      <c r="K488"/>
      <c r="L488"/>
      <c r="M488"/>
      <c r="N488"/>
    </row>
    <row r="489" spans="1:14" x14ac:dyDescent="0.3">
      <c r="A489" s="179">
        <v>20</v>
      </c>
      <c r="B489" s="104">
        <v>7.45</v>
      </c>
      <c r="C489"/>
      <c r="D489" s="179">
        <v>20</v>
      </c>
      <c r="E489" s="101">
        <v>5.28</v>
      </c>
      <c r="F489"/>
      <c r="G489"/>
      <c r="H489"/>
      <c r="I489"/>
      <c r="J489"/>
      <c r="K489"/>
      <c r="L489"/>
      <c r="M489"/>
      <c r="N489"/>
    </row>
    <row r="490" spans="1:14" x14ac:dyDescent="0.3">
      <c r="A490" s="179">
        <v>24</v>
      </c>
      <c r="B490" s="104">
        <v>9.24</v>
      </c>
      <c r="C490"/>
      <c r="D490" s="179">
        <v>24</v>
      </c>
      <c r="E490" s="101">
        <v>6.54</v>
      </c>
      <c r="F490"/>
      <c r="G490"/>
      <c r="H490"/>
      <c r="I490"/>
      <c r="J490"/>
      <c r="K490"/>
      <c r="L490"/>
      <c r="M490"/>
      <c r="N490"/>
    </row>
    <row r="491" spans="1:14" x14ac:dyDescent="0.3">
      <c r="A491" s="179">
        <v>26</v>
      </c>
      <c r="B491" s="104">
        <v>9.83</v>
      </c>
      <c r="C491"/>
      <c r="D491" s="179">
        <v>26</v>
      </c>
      <c r="E491" s="101">
        <v>6.96</v>
      </c>
      <c r="F491"/>
      <c r="G491"/>
      <c r="H491"/>
      <c r="I491"/>
      <c r="J491"/>
      <c r="K491"/>
      <c r="L491"/>
      <c r="M491"/>
      <c r="N491"/>
    </row>
    <row r="492" spans="1:14" x14ac:dyDescent="0.3">
      <c r="A492" s="179">
        <v>28</v>
      </c>
      <c r="B492" s="104">
        <v>10.42</v>
      </c>
      <c r="C492"/>
      <c r="D492" s="179">
        <v>28</v>
      </c>
      <c r="E492" s="101">
        <v>7.38</v>
      </c>
      <c r="F492"/>
      <c r="G492"/>
      <c r="H492"/>
      <c r="I492"/>
      <c r="J492"/>
      <c r="K492"/>
      <c r="L492"/>
      <c r="M492"/>
      <c r="N492"/>
    </row>
    <row r="493" spans="1:14" x14ac:dyDescent="0.3">
      <c r="A493" s="179">
        <v>30</v>
      </c>
      <c r="B493" s="104">
        <v>11.02</v>
      </c>
      <c r="C493"/>
      <c r="D493" s="179">
        <v>30</v>
      </c>
      <c r="E493" s="101">
        <v>7.81</v>
      </c>
      <c r="F493"/>
      <c r="G493"/>
      <c r="H493"/>
      <c r="I493"/>
      <c r="J493"/>
      <c r="K493"/>
      <c r="L493"/>
      <c r="M493"/>
      <c r="N493"/>
    </row>
    <row r="494" spans="1:14" x14ac:dyDescent="0.3">
      <c r="A494" s="179">
        <v>32</v>
      </c>
      <c r="B494" s="104">
        <v>12.2</v>
      </c>
      <c r="C494"/>
      <c r="D494" s="179">
        <v>32</v>
      </c>
      <c r="E494" s="101">
        <v>8.65</v>
      </c>
      <c r="F494"/>
      <c r="G494"/>
      <c r="H494"/>
      <c r="I494"/>
      <c r="J494"/>
      <c r="K494"/>
      <c r="L494"/>
      <c r="M494"/>
      <c r="N494"/>
    </row>
    <row r="495" spans="1:14" x14ac:dyDescent="0.3">
      <c r="A495" s="179">
        <v>36</v>
      </c>
      <c r="B495" s="104">
        <v>14.58</v>
      </c>
      <c r="C495"/>
      <c r="D495" s="179">
        <v>36</v>
      </c>
      <c r="E495" s="100">
        <v>10.33</v>
      </c>
      <c r="F495"/>
      <c r="G495"/>
      <c r="H495"/>
      <c r="I495"/>
      <c r="J495"/>
      <c r="K495"/>
      <c r="L495"/>
      <c r="M495"/>
      <c r="N495"/>
    </row>
    <row r="496" spans="1:14" x14ac:dyDescent="0.3">
      <c r="A496" s="179">
        <v>42</v>
      </c>
      <c r="B496" s="104">
        <v>18.14</v>
      </c>
      <c r="C496"/>
      <c r="D496" s="179">
        <v>42</v>
      </c>
      <c r="E496" s="100">
        <v>12.85</v>
      </c>
      <c r="F496"/>
      <c r="G496"/>
      <c r="H496"/>
      <c r="I496"/>
      <c r="J496"/>
      <c r="K496"/>
      <c r="L496"/>
      <c r="M496"/>
      <c r="N496"/>
    </row>
    <row r="497" spans="1:14" x14ac:dyDescent="0.3">
      <c r="A497" s="179">
        <v>48</v>
      </c>
      <c r="B497" s="104">
        <v>21.71</v>
      </c>
      <c r="C497"/>
      <c r="D497" s="179">
        <v>48</v>
      </c>
      <c r="E497" s="100">
        <v>15.37</v>
      </c>
      <c r="F497"/>
      <c r="G497"/>
      <c r="H497"/>
      <c r="I497"/>
      <c r="J497"/>
      <c r="K497"/>
      <c r="L497"/>
      <c r="M497"/>
      <c r="N497"/>
    </row>
    <row r="498" spans="1:14" x14ac:dyDescent="0.3">
      <c r="A498" s="83"/>
      <c r="B498" s="84"/>
      <c r="C498"/>
      <c r="D498"/>
      <c r="E498"/>
      <c r="F498"/>
      <c r="G498"/>
      <c r="H498"/>
      <c r="I498"/>
      <c r="J498"/>
      <c r="K498"/>
      <c r="L498"/>
      <c r="M498"/>
      <c r="N498"/>
    </row>
    <row r="499" spans="1:14" x14ac:dyDescent="0.3">
      <c r="A499" s="86" t="s">
        <v>780</v>
      </c>
      <c r="B499" s="104" t="s">
        <v>707</v>
      </c>
      <c r="C499"/>
      <c r="D499"/>
      <c r="E499"/>
      <c r="F499"/>
      <c r="G499"/>
      <c r="H499"/>
      <c r="I499"/>
      <c r="J499"/>
      <c r="K499"/>
      <c r="L499"/>
      <c r="M499"/>
      <c r="N499"/>
    </row>
    <row r="500" spans="1:14" x14ac:dyDescent="0.3">
      <c r="A500" s="179" t="s">
        <v>718</v>
      </c>
      <c r="B500" s="104">
        <v>0.35</v>
      </c>
      <c r="C500"/>
      <c r="D500"/>
      <c r="E500"/>
      <c r="F500"/>
      <c r="G500"/>
      <c r="H500"/>
      <c r="I500"/>
      <c r="J500"/>
      <c r="K500"/>
      <c r="L500"/>
      <c r="M500"/>
      <c r="N500"/>
    </row>
    <row r="501" spans="1:14" x14ac:dyDescent="0.3">
      <c r="A501" s="179" t="s">
        <v>719</v>
      </c>
      <c r="B501" s="104">
        <v>0.35</v>
      </c>
      <c r="C501"/>
      <c r="D501"/>
      <c r="E501"/>
      <c r="F501"/>
      <c r="G501"/>
      <c r="H501"/>
      <c r="I501"/>
      <c r="J501"/>
      <c r="K501"/>
      <c r="L501"/>
      <c r="M501"/>
      <c r="N501"/>
    </row>
    <row r="502" spans="1:14" x14ac:dyDescent="0.3">
      <c r="A502" s="179">
        <v>1</v>
      </c>
      <c r="B502" s="104">
        <v>0.4</v>
      </c>
      <c r="C502"/>
      <c r="D502"/>
      <c r="E502"/>
      <c r="F502"/>
      <c r="G502"/>
      <c r="H502"/>
      <c r="I502"/>
      <c r="J502"/>
      <c r="K502"/>
      <c r="L502"/>
      <c r="M502"/>
      <c r="N502"/>
    </row>
    <row r="503" spans="1:14" x14ac:dyDescent="0.3">
      <c r="A503" s="179" t="s">
        <v>720</v>
      </c>
      <c r="B503" s="104">
        <v>0.43</v>
      </c>
      <c r="C503"/>
      <c r="D503"/>
      <c r="E503"/>
      <c r="F503"/>
      <c r="G503"/>
      <c r="H503"/>
      <c r="I503"/>
      <c r="J503"/>
      <c r="K503"/>
      <c r="L503"/>
      <c r="M503"/>
      <c r="N503"/>
    </row>
    <row r="504" spans="1:14" x14ac:dyDescent="0.3">
      <c r="A504" s="179">
        <v>2</v>
      </c>
      <c r="B504" s="104">
        <v>0.48</v>
      </c>
      <c r="C504"/>
      <c r="D504"/>
      <c r="E504"/>
      <c r="F504"/>
      <c r="G504"/>
      <c r="H504"/>
      <c r="I504"/>
      <c r="J504"/>
      <c r="K504"/>
      <c r="L504"/>
      <c r="M504"/>
      <c r="N504"/>
    </row>
    <row r="505" spans="1:14" x14ac:dyDescent="0.3">
      <c r="A505" s="179" t="s">
        <v>721</v>
      </c>
      <c r="B505" s="104">
        <v>0.53</v>
      </c>
      <c r="C505"/>
      <c r="D505"/>
      <c r="E505"/>
      <c r="F505"/>
      <c r="G505"/>
      <c r="H505"/>
      <c r="I505"/>
      <c r="J505"/>
      <c r="K505"/>
      <c r="L505"/>
      <c r="M505"/>
      <c r="N505"/>
    </row>
    <row r="506" spans="1:14" x14ac:dyDescent="0.3">
      <c r="A506" s="179">
        <v>3</v>
      </c>
      <c r="B506" s="104">
        <v>0.56999999999999995</v>
      </c>
      <c r="C506"/>
      <c r="D506"/>
      <c r="E506"/>
      <c r="F506"/>
      <c r="G506"/>
      <c r="H506"/>
      <c r="I506"/>
      <c r="J506"/>
      <c r="K506"/>
      <c r="L506"/>
      <c r="M506"/>
      <c r="N506"/>
    </row>
    <row r="507" spans="1:14" x14ac:dyDescent="0.3">
      <c r="A507" s="179">
        <v>4</v>
      </c>
      <c r="B507" s="104">
        <v>0.66</v>
      </c>
      <c r="C507"/>
      <c r="D507"/>
      <c r="E507"/>
      <c r="F507"/>
      <c r="G507"/>
      <c r="H507"/>
      <c r="I507"/>
      <c r="J507"/>
      <c r="K507"/>
      <c r="L507"/>
      <c r="M507"/>
      <c r="N507"/>
    </row>
    <row r="508" spans="1:14" x14ac:dyDescent="0.3">
      <c r="A508" s="179">
        <v>6</v>
      </c>
      <c r="B508" s="104">
        <v>1.0900000000000001</v>
      </c>
      <c r="C508"/>
      <c r="D508"/>
      <c r="E508"/>
      <c r="F508"/>
      <c r="G508"/>
      <c r="H508"/>
      <c r="I508"/>
      <c r="J508"/>
      <c r="K508"/>
      <c r="L508"/>
      <c r="M508"/>
      <c r="N508"/>
    </row>
    <row r="509" spans="1:14" x14ac:dyDescent="0.3">
      <c r="A509" s="179">
        <v>8</v>
      </c>
      <c r="B509" s="104">
        <v>2.38</v>
      </c>
      <c r="C509"/>
      <c r="D509"/>
      <c r="E509"/>
      <c r="F509"/>
      <c r="G509"/>
      <c r="H509"/>
      <c r="I509"/>
      <c r="J509"/>
      <c r="K509"/>
      <c r="L509"/>
      <c r="M509"/>
      <c r="N509"/>
    </row>
    <row r="510" spans="1:14" x14ac:dyDescent="0.3">
      <c r="A510" s="179">
        <v>10</v>
      </c>
      <c r="B510" s="104">
        <v>3.25</v>
      </c>
      <c r="C510"/>
      <c r="D510"/>
      <c r="E510"/>
      <c r="F510"/>
      <c r="G510"/>
      <c r="H510"/>
      <c r="I510"/>
      <c r="J510"/>
      <c r="K510"/>
      <c r="L510"/>
      <c r="M510"/>
      <c r="N510"/>
    </row>
    <row r="511" spans="1:14" x14ac:dyDescent="0.3">
      <c r="A511" s="179">
        <v>12</v>
      </c>
      <c r="B511" s="104">
        <v>4.32</v>
      </c>
      <c r="C511"/>
      <c r="D511"/>
      <c r="E511"/>
      <c r="F511"/>
      <c r="G511"/>
      <c r="H511"/>
      <c r="I511"/>
      <c r="J511"/>
      <c r="K511"/>
      <c r="L511"/>
      <c r="M511"/>
      <c r="N511"/>
    </row>
    <row r="512" spans="1:14" x14ac:dyDescent="0.3">
      <c r="A512" s="179">
        <v>14</v>
      </c>
      <c r="B512" s="104">
        <v>5.4</v>
      </c>
      <c r="C512"/>
      <c r="D512"/>
      <c r="E512"/>
      <c r="F512"/>
      <c r="G512"/>
      <c r="H512"/>
      <c r="I512"/>
      <c r="J512"/>
      <c r="K512"/>
      <c r="L512"/>
      <c r="M512"/>
      <c r="N512"/>
    </row>
    <row r="513" spans="1:14" x14ac:dyDescent="0.3">
      <c r="A513" s="179">
        <v>16</v>
      </c>
      <c r="B513" s="104">
        <v>6.48</v>
      </c>
      <c r="C513"/>
      <c r="D513"/>
      <c r="E513"/>
      <c r="F513"/>
      <c r="G513"/>
      <c r="H513"/>
      <c r="I513"/>
      <c r="J513"/>
      <c r="K513"/>
      <c r="L513"/>
      <c r="M513"/>
      <c r="N513"/>
    </row>
    <row r="514" spans="1:14" x14ac:dyDescent="0.3">
      <c r="A514" s="179">
        <v>18</v>
      </c>
      <c r="B514" s="104">
        <v>7.56</v>
      </c>
      <c r="C514"/>
      <c r="D514"/>
      <c r="E514"/>
      <c r="F514"/>
      <c r="G514"/>
      <c r="H514"/>
      <c r="I514"/>
      <c r="J514"/>
      <c r="K514"/>
      <c r="L514"/>
      <c r="M514"/>
      <c r="N514"/>
    </row>
    <row r="515" spans="1:14" x14ac:dyDescent="0.3">
      <c r="A515" s="179">
        <v>20</v>
      </c>
      <c r="B515" s="104">
        <v>9.94</v>
      </c>
      <c r="C515"/>
      <c r="D515"/>
      <c r="E515"/>
      <c r="F515"/>
      <c r="G515"/>
      <c r="H515"/>
      <c r="I515"/>
      <c r="J515"/>
      <c r="K515"/>
      <c r="L515"/>
      <c r="M515"/>
      <c r="N515"/>
    </row>
    <row r="516" spans="1:14" x14ac:dyDescent="0.3">
      <c r="A516" s="179">
        <v>24</v>
      </c>
      <c r="B516" s="104">
        <v>12.31</v>
      </c>
      <c r="C516"/>
      <c r="D516"/>
      <c r="E516"/>
      <c r="F516"/>
      <c r="G516"/>
      <c r="H516"/>
      <c r="I516"/>
      <c r="J516"/>
      <c r="K516"/>
      <c r="L516"/>
      <c r="M516"/>
      <c r="N516"/>
    </row>
    <row r="517" spans="1:14" x14ac:dyDescent="0.3">
      <c r="A517" s="179">
        <v>26</v>
      </c>
      <c r="B517" s="104">
        <v>13.1</v>
      </c>
      <c r="C517"/>
      <c r="D517"/>
      <c r="E517"/>
      <c r="F517"/>
      <c r="G517"/>
      <c r="H517"/>
      <c r="I517"/>
      <c r="J517"/>
      <c r="K517"/>
      <c r="L517"/>
      <c r="M517"/>
      <c r="N517"/>
    </row>
    <row r="518" spans="1:14" x14ac:dyDescent="0.3">
      <c r="A518" s="179">
        <v>28</v>
      </c>
      <c r="B518" s="104">
        <v>13.9</v>
      </c>
      <c r="C518"/>
      <c r="D518"/>
      <c r="E518"/>
      <c r="F518"/>
      <c r="G518"/>
      <c r="H518"/>
      <c r="I518"/>
      <c r="J518"/>
      <c r="K518"/>
      <c r="L518"/>
      <c r="M518"/>
      <c r="N518"/>
    </row>
    <row r="519" spans="1:14" x14ac:dyDescent="0.3">
      <c r="A519" s="179">
        <v>30</v>
      </c>
      <c r="B519" s="104">
        <v>14.69</v>
      </c>
      <c r="C519"/>
      <c r="D519"/>
      <c r="E519"/>
      <c r="F519"/>
      <c r="G519"/>
      <c r="H519"/>
      <c r="I519"/>
      <c r="J519"/>
      <c r="K519"/>
      <c r="L519"/>
      <c r="M519"/>
      <c r="N519"/>
    </row>
    <row r="520" spans="1:14" x14ac:dyDescent="0.3">
      <c r="A520" s="179">
        <v>32</v>
      </c>
      <c r="B520" s="104">
        <v>16.27</v>
      </c>
      <c r="C520"/>
      <c r="D520"/>
      <c r="E520"/>
      <c r="F520"/>
      <c r="G520"/>
      <c r="H520"/>
      <c r="I520"/>
      <c r="J520"/>
      <c r="K520"/>
      <c r="L520"/>
      <c r="M520"/>
      <c r="N520"/>
    </row>
    <row r="521" spans="1:14" x14ac:dyDescent="0.3">
      <c r="A521" s="179">
        <v>36</v>
      </c>
      <c r="B521" s="104">
        <v>19.440000000000001</v>
      </c>
      <c r="C521"/>
      <c r="D521"/>
      <c r="E521"/>
      <c r="F521"/>
      <c r="G521"/>
      <c r="H521"/>
      <c r="I521"/>
      <c r="J521"/>
      <c r="K521"/>
      <c r="L521"/>
      <c r="M521"/>
      <c r="N521"/>
    </row>
    <row r="522" spans="1:14" x14ac:dyDescent="0.3">
      <c r="A522" s="179">
        <v>42</v>
      </c>
      <c r="B522" s="104">
        <v>24.19</v>
      </c>
      <c r="C522"/>
      <c r="D522"/>
      <c r="E522"/>
      <c r="F522"/>
      <c r="G522"/>
      <c r="H522"/>
      <c r="I522"/>
      <c r="J522"/>
      <c r="K522"/>
      <c r="L522"/>
      <c r="M522"/>
      <c r="N522"/>
    </row>
    <row r="523" spans="1:14" x14ac:dyDescent="0.3">
      <c r="A523" s="179">
        <v>48</v>
      </c>
      <c r="B523" s="104">
        <v>28.94</v>
      </c>
      <c r="C523"/>
      <c r="D523"/>
      <c r="E523"/>
      <c r="F523"/>
      <c r="G523"/>
      <c r="H523"/>
      <c r="I523"/>
      <c r="J523"/>
      <c r="K523"/>
      <c r="L523"/>
      <c r="M523"/>
      <c r="N523"/>
    </row>
    <row r="524" spans="1:14" ht="30.6" x14ac:dyDescent="0.3">
      <c r="A524" s="83"/>
      <c r="B524" s="84"/>
      <c r="C524"/>
      <c r="D524"/>
      <c r="E524" s="105" t="s">
        <v>781</v>
      </c>
      <c r="F524"/>
      <c r="G524"/>
      <c r="H524"/>
      <c r="I524"/>
      <c r="J524"/>
      <c r="K524"/>
      <c r="L524"/>
      <c r="M524"/>
      <c r="N524"/>
    </row>
    <row r="525" spans="1:14" x14ac:dyDescent="0.3">
      <c r="A525" s="86" t="s">
        <v>782</v>
      </c>
      <c r="B525" s="104" t="s">
        <v>707</v>
      </c>
      <c r="C525"/>
      <c r="D525" s="86"/>
      <c r="E525" s="183" t="s">
        <v>779</v>
      </c>
      <c r="F525"/>
      <c r="G525"/>
      <c r="H525"/>
      <c r="I525"/>
      <c r="J525"/>
      <c r="K525"/>
      <c r="L525"/>
      <c r="M525"/>
      <c r="N525"/>
    </row>
    <row r="526" spans="1:14" x14ac:dyDescent="0.3">
      <c r="A526" s="179" t="s">
        <v>718</v>
      </c>
      <c r="B526" s="104">
        <v>0.13</v>
      </c>
      <c r="C526"/>
      <c r="D526" s="179" t="s">
        <v>718</v>
      </c>
      <c r="E526" s="101">
        <v>0.11</v>
      </c>
      <c r="F526"/>
      <c r="G526"/>
      <c r="H526"/>
      <c r="I526"/>
      <c r="J526"/>
      <c r="K526"/>
      <c r="L526"/>
      <c r="M526"/>
      <c r="N526"/>
    </row>
    <row r="527" spans="1:14" x14ac:dyDescent="0.3">
      <c r="A527" s="179" t="s">
        <v>719</v>
      </c>
      <c r="B527" s="104">
        <v>0.13</v>
      </c>
      <c r="C527"/>
      <c r="D527" s="179" t="s">
        <v>719</v>
      </c>
      <c r="E527" s="101">
        <v>0.11</v>
      </c>
      <c r="F527"/>
      <c r="G527"/>
      <c r="H527"/>
      <c r="I527"/>
      <c r="J527"/>
      <c r="K527"/>
      <c r="L527"/>
      <c r="M527"/>
      <c r="N527"/>
    </row>
    <row r="528" spans="1:14" x14ac:dyDescent="0.3">
      <c r="A528" s="179">
        <v>1</v>
      </c>
      <c r="B528" s="104">
        <v>0.13</v>
      </c>
      <c r="C528"/>
      <c r="D528" s="179">
        <v>1</v>
      </c>
      <c r="E528" s="101">
        <v>0.11</v>
      </c>
      <c r="F528"/>
      <c r="G528"/>
      <c r="H528"/>
      <c r="I528"/>
      <c r="J528"/>
      <c r="K528"/>
      <c r="L528"/>
      <c r="M528"/>
      <c r="N528"/>
    </row>
    <row r="529" spans="1:14" x14ac:dyDescent="0.3">
      <c r="A529" s="179" t="s">
        <v>720</v>
      </c>
      <c r="B529" s="104">
        <v>0.17</v>
      </c>
      <c r="C529"/>
      <c r="D529" s="179" t="s">
        <v>720</v>
      </c>
      <c r="E529" s="101">
        <v>0.14000000000000001</v>
      </c>
      <c r="F529"/>
      <c r="G529"/>
      <c r="H529"/>
      <c r="I529"/>
      <c r="J529"/>
      <c r="K529"/>
      <c r="L529"/>
      <c r="M529"/>
      <c r="N529"/>
    </row>
    <row r="530" spans="1:14" x14ac:dyDescent="0.3">
      <c r="A530" s="179">
        <v>2</v>
      </c>
      <c r="B530" s="104">
        <v>0.17</v>
      </c>
      <c r="C530"/>
      <c r="D530" s="179">
        <v>2</v>
      </c>
      <c r="E530" s="101">
        <v>0.14000000000000001</v>
      </c>
      <c r="F530"/>
      <c r="G530"/>
      <c r="H530"/>
      <c r="I530"/>
      <c r="J530"/>
      <c r="K530"/>
      <c r="L530"/>
      <c r="M530"/>
      <c r="N530"/>
    </row>
    <row r="531" spans="1:14" x14ac:dyDescent="0.3">
      <c r="A531" s="179" t="s">
        <v>721</v>
      </c>
      <c r="B531" s="104">
        <v>0.18</v>
      </c>
      <c r="C531"/>
      <c r="D531" s="179" t="s">
        <v>721</v>
      </c>
      <c r="E531" s="101">
        <v>0.16</v>
      </c>
      <c r="F531"/>
      <c r="G531"/>
      <c r="H531"/>
      <c r="I531"/>
      <c r="J531"/>
      <c r="K531"/>
      <c r="L531"/>
      <c r="M531"/>
      <c r="N531"/>
    </row>
    <row r="532" spans="1:14" x14ac:dyDescent="0.3">
      <c r="A532" s="179">
        <v>3</v>
      </c>
      <c r="B532" s="104">
        <v>0.19</v>
      </c>
      <c r="C532"/>
      <c r="D532" s="179">
        <v>3</v>
      </c>
      <c r="E532" s="101">
        <v>0.16</v>
      </c>
      <c r="F532"/>
      <c r="G532"/>
      <c r="H532"/>
      <c r="I532"/>
      <c r="J532"/>
      <c r="K532"/>
      <c r="L532"/>
      <c r="M532"/>
      <c r="N532"/>
    </row>
    <row r="533" spans="1:14" x14ac:dyDescent="0.3">
      <c r="A533" s="179">
        <v>4</v>
      </c>
      <c r="B533" s="104">
        <v>0.19</v>
      </c>
      <c r="C533"/>
      <c r="D533" s="179">
        <v>4</v>
      </c>
      <c r="E533" s="101">
        <v>0.16</v>
      </c>
      <c r="F533"/>
      <c r="G533"/>
      <c r="H533"/>
      <c r="I533"/>
      <c r="J533"/>
      <c r="K533"/>
      <c r="L533"/>
      <c r="M533"/>
      <c r="N533"/>
    </row>
    <row r="534" spans="1:14" x14ac:dyDescent="0.3">
      <c r="A534" s="179">
        <v>6</v>
      </c>
      <c r="B534" s="104">
        <v>0.23</v>
      </c>
      <c r="C534"/>
      <c r="D534" s="179">
        <v>6</v>
      </c>
      <c r="E534" s="101">
        <v>0.2</v>
      </c>
      <c r="F534"/>
      <c r="G534"/>
      <c r="H534"/>
      <c r="I534"/>
      <c r="J534"/>
      <c r="K534"/>
      <c r="L534"/>
      <c r="M534"/>
      <c r="N534"/>
    </row>
    <row r="535" spans="1:14" x14ac:dyDescent="0.3">
      <c r="A535" s="179">
        <v>8</v>
      </c>
      <c r="B535" s="104">
        <v>0.26</v>
      </c>
      <c r="C535"/>
      <c r="D535" s="179">
        <v>8</v>
      </c>
      <c r="E535" s="101">
        <v>0.22</v>
      </c>
      <c r="F535"/>
      <c r="G535"/>
      <c r="H535"/>
      <c r="I535"/>
      <c r="J535"/>
      <c r="K535"/>
      <c r="L535"/>
      <c r="M535"/>
      <c r="N535"/>
    </row>
    <row r="536" spans="1:14" x14ac:dyDescent="0.3">
      <c r="A536" s="179">
        <v>10</v>
      </c>
      <c r="B536" s="104">
        <v>0.3</v>
      </c>
      <c r="C536"/>
      <c r="D536" s="179">
        <v>10</v>
      </c>
      <c r="E536" s="101">
        <v>0.25</v>
      </c>
      <c r="F536"/>
      <c r="G536"/>
      <c r="H536"/>
      <c r="I536"/>
      <c r="J536"/>
      <c r="K536"/>
      <c r="L536"/>
      <c r="M536"/>
      <c r="N536"/>
    </row>
    <row r="537" spans="1:14" x14ac:dyDescent="0.3">
      <c r="A537" s="179">
        <v>12</v>
      </c>
      <c r="B537" s="104">
        <v>0.32</v>
      </c>
      <c r="C537"/>
      <c r="D537" s="179">
        <v>12</v>
      </c>
      <c r="E537" s="101">
        <v>0.28000000000000003</v>
      </c>
      <c r="F537"/>
      <c r="G537"/>
      <c r="H537"/>
      <c r="I537"/>
      <c r="J537"/>
      <c r="K537"/>
      <c r="L537"/>
      <c r="M537"/>
      <c r="N537"/>
    </row>
    <row r="538" spans="1:14" x14ac:dyDescent="0.3">
      <c r="A538" s="179">
        <v>14</v>
      </c>
      <c r="B538" s="104">
        <v>0.36</v>
      </c>
      <c r="C538"/>
      <c r="D538" s="179">
        <v>14</v>
      </c>
      <c r="E538" s="101">
        <v>0.31</v>
      </c>
      <c r="F538"/>
      <c r="G538"/>
      <c r="H538"/>
      <c r="I538"/>
      <c r="J538"/>
      <c r="K538"/>
      <c r="L538"/>
      <c r="M538"/>
      <c r="N538"/>
    </row>
    <row r="539" spans="1:14" x14ac:dyDescent="0.3">
      <c r="A539" s="179">
        <v>16</v>
      </c>
      <c r="B539" s="104">
        <v>0.39</v>
      </c>
      <c r="C539"/>
      <c r="D539" s="179">
        <v>16</v>
      </c>
      <c r="E539" s="101">
        <v>0.33</v>
      </c>
      <c r="F539"/>
      <c r="G539"/>
      <c r="H539"/>
      <c r="I539"/>
      <c r="J539"/>
      <c r="K539"/>
      <c r="L539"/>
      <c r="M539"/>
      <c r="N539"/>
    </row>
    <row r="540" spans="1:14" x14ac:dyDescent="0.3">
      <c r="A540" s="179">
        <v>18</v>
      </c>
      <c r="B540" s="104">
        <v>0.42</v>
      </c>
      <c r="C540"/>
      <c r="D540" s="179">
        <v>18</v>
      </c>
      <c r="E540" s="101">
        <v>0.36</v>
      </c>
      <c r="F540"/>
      <c r="G540"/>
      <c r="H540"/>
      <c r="I540"/>
      <c r="J540"/>
      <c r="K540"/>
      <c r="L540"/>
      <c r="M540"/>
      <c r="N540"/>
    </row>
    <row r="541" spans="1:14" x14ac:dyDescent="0.3">
      <c r="A541" s="179">
        <v>20</v>
      </c>
      <c r="B541" s="104">
        <v>0.45</v>
      </c>
      <c r="C541"/>
      <c r="D541" s="179">
        <v>20</v>
      </c>
      <c r="E541" s="101">
        <v>0.39</v>
      </c>
      <c r="F541"/>
      <c r="G541"/>
      <c r="H541"/>
      <c r="I541"/>
      <c r="J541"/>
      <c r="K541"/>
      <c r="L541"/>
      <c r="M541"/>
      <c r="N541"/>
    </row>
    <row r="542" spans="1:14" x14ac:dyDescent="0.3">
      <c r="A542" s="179">
        <v>24</v>
      </c>
      <c r="B542" s="104">
        <v>0.52</v>
      </c>
      <c r="C542"/>
      <c r="D542" s="179">
        <v>24</v>
      </c>
      <c r="E542" s="101">
        <v>0.44</v>
      </c>
      <c r="F542"/>
      <c r="G542"/>
      <c r="H542"/>
      <c r="I542"/>
      <c r="J542"/>
      <c r="K542"/>
      <c r="L542"/>
      <c r="M542"/>
      <c r="N542"/>
    </row>
    <row r="543" spans="1:14" x14ac:dyDescent="0.3">
      <c r="A543" s="179">
        <v>26</v>
      </c>
      <c r="B543" s="104">
        <v>0.54</v>
      </c>
      <c r="C543"/>
      <c r="D543" s="179">
        <v>26</v>
      </c>
      <c r="E543" s="101">
        <v>0.46</v>
      </c>
      <c r="F543"/>
      <c r="G543"/>
      <c r="H543"/>
      <c r="I543"/>
      <c r="J543"/>
      <c r="K543"/>
      <c r="L543"/>
      <c r="M543"/>
      <c r="N543"/>
    </row>
    <row r="544" spans="1:14" x14ac:dyDescent="0.3">
      <c r="A544" s="179">
        <v>28</v>
      </c>
      <c r="B544" s="104">
        <v>0.56000000000000005</v>
      </c>
      <c r="C544"/>
      <c r="D544" s="179">
        <v>28</v>
      </c>
      <c r="E544" s="101">
        <v>0.48</v>
      </c>
      <c r="F544"/>
      <c r="G544"/>
      <c r="H544"/>
      <c r="I544"/>
      <c r="J544"/>
      <c r="K544"/>
      <c r="L544"/>
      <c r="M544"/>
      <c r="N544"/>
    </row>
    <row r="545" spans="1:14" x14ac:dyDescent="0.3">
      <c r="A545" s="179">
        <v>30</v>
      </c>
      <c r="B545" s="104">
        <v>0.57999999999999996</v>
      </c>
      <c r="C545"/>
      <c r="D545" s="179">
        <v>30</v>
      </c>
      <c r="E545" s="101">
        <v>0.5</v>
      </c>
      <c r="F545"/>
      <c r="G545"/>
      <c r="H545"/>
      <c r="I545"/>
      <c r="J545"/>
      <c r="K545"/>
      <c r="L545"/>
      <c r="M545"/>
      <c r="N545"/>
    </row>
    <row r="546" spans="1:14" x14ac:dyDescent="0.3">
      <c r="A546" s="179">
        <v>32</v>
      </c>
      <c r="B546" s="104">
        <v>0.6</v>
      </c>
      <c r="C546"/>
      <c r="D546" s="179">
        <v>32</v>
      </c>
      <c r="E546" s="101">
        <v>0.51</v>
      </c>
      <c r="F546"/>
      <c r="G546"/>
      <c r="H546"/>
      <c r="I546"/>
      <c r="J546"/>
      <c r="K546"/>
      <c r="L546"/>
      <c r="M546"/>
      <c r="N546"/>
    </row>
    <row r="547" spans="1:14" x14ac:dyDescent="0.3">
      <c r="A547" s="179">
        <v>36</v>
      </c>
      <c r="B547" s="104">
        <v>0.65</v>
      </c>
      <c r="C547"/>
      <c r="D547" s="179">
        <v>36</v>
      </c>
      <c r="E547" s="100">
        <v>0.55000000000000004</v>
      </c>
      <c r="F547"/>
      <c r="G547"/>
      <c r="H547"/>
      <c r="I547"/>
      <c r="J547"/>
      <c r="K547"/>
      <c r="L547"/>
      <c r="M547"/>
      <c r="N547"/>
    </row>
    <row r="548" spans="1:14" x14ac:dyDescent="0.3">
      <c r="A548" s="179">
        <v>42</v>
      </c>
      <c r="B548" s="104">
        <v>0.71</v>
      </c>
      <c r="C548"/>
      <c r="D548" s="179">
        <v>42</v>
      </c>
      <c r="E548" s="100">
        <v>0.61</v>
      </c>
      <c r="F548"/>
      <c r="G548"/>
      <c r="H548"/>
      <c r="I548"/>
      <c r="J548"/>
      <c r="K548"/>
      <c r="L548"/>
      <c r="M548"/>
      <c r="N548"/>
    </row>
    <row r="549" spans="1:14" x14ac:dyDescent="0.3">
      <c r="A549" s="179">
        <v>48</v>
      </c>
      <c r="B549" s="104">
        <v>0.78</v>
      </c>
      <c r="C549"/>
      <c r="D549" s="179">
        <v>48</v>
      </c>
      <c r="E549" s="100">
        <v>0.66</v>
      </c>
      <c r="F549"/>
      <c r="G549"/>
      <c r="H549"/>
      <c r="I549"/>
      <c r="J549"/>
      <c r="K549"/>
      <c r="L549"/>
      <c r="M549"/>
      <c r="N549"/>
    </row>
    <row r="550" spans="1:14" ht="30.6" x14ac:dyDescent="0.3">
      <c r="A550" s="83"/>
      <c r="B550" s="84"/>
      <c r="C550"/>
      <c r="D550"/>
      <c r="E550" s="105" t="s">
        <v>783</v>
      </c>
      <c r="F550"/>
      <c r="G550"/>
      <c r="H550"/>
      <c r="I550"/>
      <c r="J550"/>
      <c r="K550"/>
      <c r="L550"/>
      <c r="M550"/>
      <c r="N550"/>
    </row>
    <row r="551" spans="1:14" x14ac:dyDescent="0.3">
      <c r="A551" s="86" t="s">
        <v>784</v>
      </c>
      <c r="B551" s="104" t="s">
        <v>707</v>
      </c>
      <c r="C551"/>
      <c r="D551" s="86"/>
      <c r="E551" s="183" t="s">
        <v>779</v>
      </c>
      <c r="F551"/>
      <c r="G551"/>
      <c r="H551"/>
      <c r="I551"/>
      <c r="J551"/>
      <c r="K551"/>
      <c r="L551"/>
      <c r="M551"/>
      <c r="N551"/>
    </row>
    <row r="552" spans="1:14" x14ac:dyDescent="0.3">
      <c r="A552" s="179" t="s">
        <v>718</v>
      </c>
      <c r="B552" s="104">
        <v>0.13</v>
      </c>
      <c r="C552"/>
      <c r="D552" s="179" t="s">
        <v>718</v>
      </c>
      <c r="E552" s="101">
        <v>0.11</v>
      </c>
      <c r="F552"/>
      <c r="G552"/>
      <c r="H552"/>
      <c r="I552"/>
      <c r="J552"/>
      <c r="K552"/>
      <c r="L552"/>
      <c r="M552"/>
      <c r="N552"/>
    </row>
    <row r="553" spans="1:14" x14ac:dyDescent="0.3">
      <c r="A553" s="179" t="s">
        <v>719</v>
      </c>
      <c r="B553" s="104">
        <v>0.13</v>
      </c>
      <c r="C553"/>
      <c r="D553" s="179" t="s">
        <v>719</v>
      </c>
      <c r="E553" s="101">
        <v>0.11</v>
      </c>
      <c r="F553"/>
      <c r="G553"/>
      <c r="H553"/>
      <c r="I553"/>
      <c r="J553"/>
      <c r="K553"/>
      <c r="L553"/>
      <c r="M553"/>
      <c r="N553"/>
    </row>
    <row r="554" spans="1:14" x14ac:dyDescent="0.3">
      <c r="A554" s="179">
        <v>1</v>
      </c>
      <c r="B554" s="104">
        <v>0.13</v>
      </c>
      <c r="C554"/>
      <c r="D554" s="179">
        <v>1</v>
      </c>
      <c r="E554" s="101">
        <v>0.11</v>
      </c>
      <c r="F554"/>
      <c r="G554"/>
      <c r="H554"/>
      <c r="I554"/>
      <c r="J554"/>
      <c r="K554"/>
      <c r="L554"/>
      <c r="M554"/>
      <c r="N554"/>
    </row>
    <row r="555" spans="1:14" x14ac:dyDescent="0.3">
      <c r="A555" s="179" t="s">
        <v>720</v>
      </c>
      <c r="B555" s="104">
        <v>0.17</v>
      </c>
      <c r="C555"/>
      <c r="D555" s="179" t="s">
        <v>720</v>
      </c>
      <c r="E555" s="101">
        <v>0.14000000000000001</v>
      </c>
      <c r="F555"/>
      <c r="G555"/>
      <c r="H555"/>
      <c r="I555"/>
      <c r="J555"/>
      <c r="K555"/>
      <c r="L555"/>
      <c r="M555"/>
      <c r="N555"/>
    </row>
    <row r="556" spans="1:14" x14ac:dyDescent="0.3">
      <c r="A556" s="179">
        <v>2</v>
      </c>
      <c r="B556" s="104">
        <v>0.17</v>
      </c>
      <c r="C556"/>
      <c r="D556" s="179">
        <v>2</v>
      </c>
      <c r="E556" s="101">
        <v>0.14000000000000001</v>
      </c>
      <c r="F556"/>
      <c r="G556"/>
      <c r="H556"/>
      <c r="I556"/>
      <c r="J556"/>
      <c r="K556"/>
      <c r="L556"/>
      <c r="M556"/>
      <c r="N556"/>
    </row>
    <row r="557" spans="1:14" x14ac:dyDescent="0.3">
      <c r="A557" s="179" t="s">
        <v>721</v>
      </c>
      <c r="B557" s="104">
        <v>0.18</v>
      </c>
      <c r="C557"/>
      <c r="D557" s="179" t="s">
        <v>721</v>
      </c>
      <c r="E557" s="101">
        <v>0.16</v>
      </c>
      <c r="F557"/>
      <c r="G557"/>
      <c r="H557"/>
      <c r="I557"/>
      <c r="J557"/>
      <c r="K557"/>
      <c r="L557"/>
      <c r="M557"/>
      <c r="N557"/>
    </row>
    <row r="558" spans="1:14" x14ac:dyDescent="0.3">
      <c r="A558" s="179">
        <v>3</v>
      </c>
      <c r="B558" s="104">
        <v>0.19</v>
      </c>
      <c r="C558"/>
      <c r="D558" s="179">
        <v>3</v>
      </c>
      <c r="E558" s="101">
        <v>0.16</v>
      </c>
      <c r="F558"/>
      <c r="G558"/>
      <c r="H558"/>
      <c r="I558"/>
      <c r="J558"/>
      <c r="K558"/>
      <c r="L558"/>
      <c r="M558"/>
      <c r="N558"/>
    </row>
    <row r="559" spans="1:14" x14ac:dyDescent="0.3">
      <c r="A559" s="179">
        <v>4</v>
      </c>
      <c r="B559" s="104">
        <v>0.19</v>
      </c>
      <c r="C559"/>
      <c r="D559" s="179">
        <v>4</v>
      </c>
      <c r="E559" s="101">
        <v>0.16</v>
      </c>
      <c r="F559"/>
      <c r="G559"/>
      <c r="H559"/>
      <c r="I559"/>
      <c r="J559"/>
      <c r="K559"/>
      <c r="L559"/>
      <c r="M559"/>
      <c r="N559"/>
    </row>
    <row r="560" spans="1:14" x14ac:dyDescent="0.3">
      <c r="A560" s="179">
        <v>6</v>
      </c>
      <c r="B560" s="104">
        <v>0.23</v>
      </c>
      <c r="C560"/>
      <c r="D560" s="179">
        <v>6</v>
      </c>
      <c r="E560" s="101">
        <v>0.2</v>
      </c>
      <c r="F560"/>
      <c r="G560"/>
      <c r="H560"/>
      <c r="I560"/>
      <c r="J560"/>
      <c r="K560"/>
      <c r="L560"/>
      <c r="M560"/>
      <c r="N560"/>
    </row>
    <row r="561" spans="1:14" x14ac:dyDescent="0.3">
      <c r="A561" s="179">
        <v>8</v>
      </c>
      <c r="B561" s="104">
        <v>0.26</v>
      </c>
      <c r="C561"/>
      <c r="D561" s="179">
        <v>8</v>
      </c>
      <c r="E561" s="101">
        <v>0.22</v>
      </c>
      <c r="F561"/>
      <c r="G561"/>
      <c r="H561"/>
      <c r="I561"/>
      <c r="J561"/>
      <c r="K561"/>
      <c r="L561"/>
      <c r="M561"/>
      <c r="N561"/>
    </row>
    <row r="562" spans="1:14" x14ac:dyDescent="0.3">
      <c r="A562" s="179">
        <v>10</v>
      </c>
      <c r="B562" s="104">
        <v>0.3</v>
      </c>
      <c r="C562"/>
      <c r="D562" s="179">
        <v>10</v>
      </c>
      <c r="E562" s="101">
        <v>0.25</v>
      </c>
      <c r="F562"/>
      <c r="G562"/>
      <c r="H562"/>
      <c r="I562"/>
      <c r="J562"/>
      <c r="K562"/>
      <c r="L562"/>
      <c r="M562"/>
      <c r="N562"/>
    </row>
    <row r="563" spans="1:14" x14ac:dyDescent="0.3">
      <c r="A563" s="179">
        <v>12</v>
      </c>
      <c r="B563" s="104">
        <v>0.32</v>
      </c>
      <c r="C563"/>
      <c r="D563" s="179">
        <v>12</v>
      </c>
      <c r="E563" s="101">
        <v>0.28000000000000003</v>
      </c>
      <c r="F563"/>
      <c r="G563"/>
      <c r="H563"/>
      <c r="I563"/>
      <c r="J563"/>
      <c r="K563"/>
      <c r="L563"/>
      <c r="M563"/>
      <c r="N563"/>
    </row>
    <row r="564" spans="1:14" x14ac:dyDescent="0.3">
      <c r="A564" s="179">
        <v>14</v>
      </c>
      <c r="B564" s="104">
        <v>0.36</v>
      </c>
      <c r="C564"/>
      <c r="D564" s="179">
        <v>14</v>
      </c>
      <c r="E564" s="101">
        <v>0.31</v>
      </c>
      <c r="F564"/>
      <c r="G564"/>
      <c r="H564"/>
      <c r="I564"/>
      <c r="J564"/>
      <c r="K564"/>
      <c r="L564"/>
      <c r="M564"/>
      <c r="N564"/>
    </row>
    <row r="565" spans="1:14" x14ac:dyDescent="0.3">
      <c r="A565" s="179">
        <v>16</v>
      </c>
      <c r="B565" s="104">
        <v>0.39</v>
      </c>
      <c r="C565"/>
      <c r="D565" s="179">
        <v>16</v>
      </c>
      <c r="E565" s="101">
        <v>0.33</v>
      </c>
      <c r="F565"/>
      <c r="G565"/>
      <c r="H565"/>
      <c r="I565"/>
      <c r="J565"/>
      <c r="K565"/>
      <c r="L565"/>
      <c r="M565"/>
      <c r="N565"/>
    </row>
    <row r="566" spans="1:14" x14ac:dyDescent="0.3">
      <c r="A566" s="179">
        <v>18</v>
      </c>
      <c r="B566" s="104">
        <v>0.42</v>
      </c>
      <c r="C566"/>
      <c r="D566" s="179">
        <v>18</v>
      </c>
      <c r="E566" s="101">
        <v>0.36</v>
      </c>
      <c r="F566"/>
      <c r="G566"/>
      <c r="H566"/>
      <c r="I566"/>
      <c r="J566"/>
      <c r="K566"/>
      <c r="L566"/>
      <c r="M566"/>
      <c r="N566"/>
    </row>
    <row r="567" spans="1:14" x14ac:dyDescent="0.3">
      <c r="A567" s="179">
        <v>20</v>
      </c>
      <c r="B567" s="104">
        <v>0.45</v>
      </c>
      <c r="C567"/>
      <c r="D567" s="179">
        <v>20</v>
      </c>
      <c r="E567" s="101">
        <v>0.39</v>
      </c>
      <c r="F567"/>
      <c r="G567"/>
      <c r="H567"/>
      <c r="I567"/>
      <c r="J567"/>
      <c r="K567"/>
      <c r="L567"/>
      <c r="M567"/>
      <c r="N567"/>
    </row>
    <row r="568" spans="1:14" x14ac:dyDescent="0.3">
      <c r="A568" s="179">
        <v>24</v>
      </c>
      <c r="B568" s="104">
        <v>0.52</v>
      </c>
      <c r="C568"/>
      <c r="D568" s="179">
        <v>24</v>
      </c>
      <c r="E568" s="101">
        <v>0.44</v>
      </c>
      <c r="F568"/>
      <c r="G568"/>
      <c r="H568"/>
      <c r="I568"/>
      <c r="J568"/>
      <c r="K568"/>
      <c r="L568"/>
      <c r="M568"/>
      <c r="N568"/>
    </row>
    <row r="569" spans="1:14" x14ac:dyDescent="0.3">
      <c r="A569" s="179">
        <v>26</v>
      </c>
      <c r="B569" s="104">
        <v>0.54</v>
      </c>
      <c r="C569"/>
      <c r="D569" s="179">
        <v>26</v>
      </c>
      <c r="E569" s="101">
        <v>0.46</v>
      </c>
      <c r="F569"/>
      <c r="G569"/>
      <c r="H569"/>
      <c r="I569"/>
      <c r="J569"/>
      <c r="K569"/>
      <c r="L569"/>
      <c r="M569"/>
      <c r="N569"/>
    </row>
    <row r="570" spans="1:14" x14ac:dyDescent="0.3">
      <c r="A570" s="179">
        <v>28</v>
      </c>
      <c r="B570" s="104">
        <v>0.56000000000000005</v>
      </c>
      <c r="C570"/>
      <c r="D570" s="179">
        <v>28</v>
      </c>
      <c r="E570" s="101">
        <v>0.48</v>
      </c>
      <c r="F570"/>
      <c r="G570"/>
      <c r="H570"/>
      <c r="I570"/>
      <c r="J570"/>
      <c r="K570"/>
      <c r="L570"/>
      <c r="M570"/>
      <c r="N570"/>
    </row>
    <row r="571" spans="1:14" x14ac:dyDescent="0.3">
      <c r="A571" s="179">
        <v>30</v>
      </c>
      <c r="B571" s="104">
        <v>0.57999999999999996</v>
      </c>
      <c r="C571"/>
      <c r="D571" s="179">
        <v>30</v>
      </c>
      <c r="E571" s="101">
        <v>0.5</v>
      </c>
      <c r="F571"/>
      <c r="G571"/>
      <c r="H571"/>
      <c r="I571"/>
      <c r="J571"/>
      <c r="K571"/>
      <c r="L571"/>
      <c r="M571"/>
      <c r="N571"/>
    </row>
    <row r="572" spans="1:14" x14ac:dyDescent="0.3">
      <c r="A572" s="179">
        <v>32</v>
      </c>
      <c r="B572" s="104">
        <v>0.6</v>
      </c>
      <c r="C572"/>
      <c r="D572" s="179">
        <v>32</v>
      </c>
      <c r="E572" s="101">
        <v>0.51</v>
      </c>
      <c r="F572"/>
      <c r="G572"/>
      <c r="H572"/>
      <c r="I572"/>
      <c r="J572"/>
      <c r="K572"/>
      <c r="L572"/>
      <c r="M572"/>
      <c r="N572"/>
    </row>
    <row r="573" spans="1:14" x14ac:dyDescent="0.3">
      <c r="A573" s="179">
        <v>36</v>
      </c>
      <c r="B573" s="104">
        <v>0.65</v>
      </c>
      <c r="C573"/>
      <c r="D573" s="179">
        <v>36</v>
      </c>
      <c r="E573" s="100">
        <v>0.55000000000000004</v>
      </c>
      <c r="F573"/>
      <c r="G573"/>
      <c r="H573"/>
      <c r="I573"/>
      <c r="J573"/>
      <c r="K573"/>
      <c r="L573"/>
      <c r="M573"/>
      <c r="N573"/>
    </row>
    <row r="574" spans="1:14" x14ac:dyDescent="0.3">
      <c r="A574" s="179">
        <v>42</v>
      </c>
      <c r="B574" s="104">
        <v>0.71</v>
      </c>
      <c r="C574"/>
      <c r="D574" s="179">
        <v>42</v>
      </c>
      <c r="E574" s="100">
        <v>0.61</v>
      </c>
      <c r="F574"/>
      <c r="G574"/>
      <c r="H574"/>
      <c r="I574"/>
      <c r="J574"/>
      <c r="K574"/>
      <c r="L574"/>
      <c r="M574"/>
      <c r="N574"/>
    </row>
    <row r="575" spans="1:14" x14ac:dyDescent="0.3">
      <c r="A575" s="179">
        <v>48</v>
      </c>
      <c r="B575" s="104">
        <v>0.78</v>
      </c>
      <c r="C575"/>
      <c r="D575" s="179">
        <v>48</v>
      </c>
      <c r="E575" s="100">
        <v>0.66</v>
      </c>
      <c r="F575"/>
      <c r="G575"/>
      <c r="H575"/>
      <c r="I575"/>
      <c r="J575"/>
      <c r="K575"/>
      <c r="L575"/>
      <c r="M575"/>
      <c r="N575"/>
    </row>
    <row r="576" spans="1:14" ht="36" x14ac:dyDescent="0.3">
      <c r="A576" s="83"/>
      <c r="B576" s="84"/>
      <c r="C576"/>
      <c r="E576" s="183" t="s">
        <v>785</v>
      </c>
      <c r="F576"/>
      <c r="G576"/>
      <c r="H576"/>
      <c r="I576"/>
      <c r="J576"/>
      <c r="K576"/>
      <c r="L576"/>
      <c r="M576"/>
      <c r="N576"/>
    </row>
    <row r="577" spans="1:14" x14ac:dyDescent="0.3">
      <c r="A577" s="86" t="s">
        <v>786</v>
      </c>
      <c r="B577" s="104" t="s">
        <v>707</v>
      </c>
      <c r="C577"/>
      <c r="D577" s="86"/>
      <c r="E577" s="101" t="s">
        <v>779</v>
      </c>
      <c r="F577"/>
      <c r="G577"/>
      <c r="H577"/>
      <c r="I577"/>
      <c r="J577"/>
      <c r="K577"/>
      <c r="L577"/>
      <c r="M577"/>
      <c r="N577"/>
    </row>
    <row r="578" spans="1:14" x14ac:dyDescent="0.3">
      <c r="A578" s="179" t="s">
        <v>718</v>
      </c>
      <c r="B578" s="104">
        <v>0.17</v>
      </c>
      <c r="C578"/>
      <c r="D578" s="179" t="s">
        <v>718</v>
      </c>
      <c r="E578" s="101">
        <v>0.14000000000000001</v>
      </c>
      <c r="F578"/>
      <c r="G578"/>
      <c r="H578"/>
      <c r="I578"/>
      <c r="J578"/>
      <c r="K578"/>
      <c r="L578"/>
      <c r="M578"/>
      <c r="N578"/>
    </row>
    <row r="579" spans="1:14" x14ac:dyDescent="0.3">
      <c r="A579" s="179" t="s">
        <v>719</v>
      </c>
      <c r="B579" s="104">
        <v>0.17</v>
      </c>
      <c r="C579"/>
      <c r="D579" s="179" t="s">
        <v>719</v>
      </c>
      <c r="E579" s="101">
        <v>0.14000000000000001</v>
      </c>
      <c r="F579"/>
      <c r="G579"/>
      <c r="H579"/>
      <c r="I579"/>
      <c r="J579"/>
      <c r="K579"/>
      <c r="L579"/>
      <c r="M579"/>
      <c r="N579"/>
    </row>
    <row r="580" spans="1:14" x14ac:dyDescent="0.3">
      <c r="A580" s="179">
        <v>1</v>
      </c>
      <c r="B580" s="104">
        <v>0.17</v>
      </c>
      <c r="C580"/>
      <c r="D580" s="179">
        <v>1</v>
      </c>
      <c r="E580" s="101">
        <v>0.14000000000000001</v>
      </c>
      <c r="F580"/>
      <c r="G580"/>
      <c r="H580"/>
      <c r="I580"/>
      <c r="J580"/>
      <c r="K580"/>
      <c r="L580"/>
      <c r="M580"/>
      <c r="N580"/>
    </row>
    <row r="581" spans="1:14" x14ac:dyDescent="0.3">
      <c r="A581" s="179" t="s">
        <v>720</v>
      </c>
      <c r="B581" s="104">
        <v>0.17</v>
      </c>
      <c r="C581"/>
      <c r="D581" s="179" t="s">
        <v>720</v>
      </c>
      <c r="E581" s="101">
        <v>0.14000000000000001</v>
      </c>
      <c r="F581"/>
      <c r="G581"/>
      <c r="H581"/>
      <c r="I581"/>
      <c r="J581"/>
      <c r="K581"/>
      <c r="L581"/>
      <c r="M581"/>
      <c r="N581"/>
    </row>
    <row r="582" spans="1:14" x14ac:dyDescent="0.3">
      <c r="A582" s="179">
        <v>2</v>
      </c>
      <c r="B582" s="104">
        <v>0.19</v>
      </c>
      <c r="C582"/>
      <c r="D582" s="179">
        <v>2</v>
      </c>
      <c r="E582" s="101">
        <v>0.16</v>
      </c>
      <c r="F582"/>
      <c r="G582"/>
      <c r="H582"/>
      <c r="I582"/>
      <c r="J582"/>
      <c r="K582"/>
      <c r="L582"/>
      <c r="M582"/>
      <c r="N582"/>
    </row>
    <row r="583" spans="1:14" x14ac:dyDescent="0.3">
      <c r="A583" s="179" t="s">
        <v>721</v>
      </c>
      <c r="B583" s="104">
        <v>0.19</v>
      </c>
      <c r="C583"/>
      <c r="D583" s="179" t="s">
        <v>721</v>
      </c>
      <c r="E583" s="101">
        <v>0.16</v>
      </c>
      <c r="F583"/>
      <c r="G583"/>
      <c r="H583"/>
      <c r="I583"/>
      <c r="J583"/>
      <c r="K583"/>
      <c r="L583"/>
      <c r="M583"/>
      <c r="N583"/>
    </row>
    <row r="584" spans="1:14" x14ac:dyDescent="0.3">
      <c r="A584" s="179">
        <v>3</v>
      </c>
      <c r="B584" s="104">
        <v>0.19</v>
      </c>
      <c r="C584"/>
      <c r="D584" s="179">
        <v>3</v>
      </c>
      <c r="E584" s="101">
        <v>0.16</v>
      </c>
      <c r="F584"/>
      <c r="G584"/>
      <c r="H584"/>
      <c r="I584"/>
      <c r="J584"/>
      <c r="K584"/>
      <c r="L584"/>
      <c r="M584"/>
      <c r="N584"/>
    </row>
    <row r="585" spans="1:14" x14ac:dyDescent="0.3">
      <c r="A585" s="179">
        <v>4</v>
      </c>
      <c r="B585" s="104">
        <v>0.36</v>
      </c>
      <c r="C585"/>
      <c r="D585" s="179">
        <v>4</v>
      </c>
      <c r="E585" s="101">
        <v>0.31</v>
      </c>
      <c r="F585"/>
      <c r="G585"/>
      <c r="H585"/>
      <c r="I585"/>
      <c r="J585"/>
      <c r="K585"/>
      <c r="L585"/>
      <c r="M585"/>
      <c r="N585"/>
    </row>
    <row r="586" spans="1:14" x14ac:dyDescent="0.3">
      <c r="A586" s="179">
        <v>6</v>
      </c>
      <c r="B586" s="104">
        <v>0.42</v>
      </c>
      <c r="C586"/>
      <c r="D586" s="179">
        <v>6</v>
      </c>
      <c r="E586" s="101">
        <v>0.36</v>
      </c>
      <c r="F586"/>
      <c r="G586"/>
      <c r="H586"/>
      <c r="I586"/>
      <c r="J586"/>
      <c r="K586"/>
      <c r="L586"/>
      <c r="M586"/>
      <c r="N586"/>
    </row>
    <row r="587" spans="1:14" x14ac:dyDescent="0.3">
      <c r="A587" s="179">
        <v>8</v>
      </c>
      <c r="B587" s="104">
        <v>0.49</v>
      </c>
      <c r="C587"/>
      <c r="D587" s="179">
        <v>8</v>
      </c>
      <c r="E587" s="101">
        <v>0.41</v>
      </c>
      <c r="F587"/>
      <c r="G587"/>
      <c r="H587"/>
      <c r="I587"/>
      <c r="J587"/>
      <c r="K587"/>
      <c r="L587"/>
      <c r="M587"/>
      <c r="N587"/>
    </row>
    <row r="588" spans="1:14" x14ac:dyDescent="0.3">
      <c r="A588" s="179">
        <v>10</v>
      </c>
      <c r="B588" s="104">
        <v>0.94</v>
      </c>
      <c r="C588"/>
      <c r="D588" s="179">
        <v>10</v>
      </c>
      <c r="E588" s="101">
        <v>0.8</v>
      </c>
      <c r="F588"/>
      <c r="G588"/>
      <c r="H588"/>
      <c r="I588"/>
      <c r="J588"/>
      <c r="K588"/>
      <c r="L588"/>
      <c r="M588"/>
      <c r="N588"/>
    </row>
    <row r="589" spans="1:14" x14ac:dyDescent="0.3">
      <c r="A589" s="179">
        <v>12</v>
      </c>
      <c r="B589" s="104">
        <v>1.01</v>
      </c>
      <c r="C589"/>
      <c r="D589" s="179">
        <v>12</v>
      </c>
      <c r="E589" s="101">
        <v>0.86</v>
      </c>
      <c r="F589"/>
      <c r="G589"/>
      <c r="H589"/>
      <c r="I589"/>
      <c r="J589"/>
      <c r="K589"/>
      <c r="L589"/>
      <c r="M589"/>
      <c r="N589"/>
    </row>
    <row r="590" spans="1:14" x14ac:dyDescent="0.3">
      <c r="A590" s="179">
        <v>14</v>
      </c>
      <c r="B590" s="104">
        <v>1.1000000000000001</v>
      </c>
      <c r="C590"/>
      <c r="D590" s="179">
        <v>14</v>
      </c>
      <c r="E590" s="101">
        <v>0.94</v>
      </c>
      <c r="F590"/>
      <c r="G590"/>
      <c r="H590"/>
      <c r="I590"/>
      <c r="J590"/>
      <c r="K590"/>
      <c r="L590"/>
      <c r="M590"/>
      <c r="N590"/>
    </row>
    <row r="591" spans="1:14" x14ac:dyDescent="0.3">
      <c r="A591" s="179">
        <v>16</v>
      </c>
      <c r="B591" s="104">
        <v>1.49</v>
      </c>
      <c r="C591"/>
      <c r="D591" s="179">
        <v>16</v>
      </c>
      <c r="E591" s="101">
        <v>1.26</v>
      </c>
      <c r="F591"/>
      <c r="G591"/>
      <c r="H591"/>
      <c r="I591"/>
      <c r="J591"/>
      <c r="K591"/>
      <c r="L591"/>
      <c r="M591"/>
      <c r="N591"/>
    </row>
    <row r="592" spans="1:14" x14ac:dyDescent="0.3">
      <c r="A592" s="179">
        <v>18</v>
      </c>
      <c r="B592" s="104">
        <v>1.72</v>
      </c>
      <c r="C592"/>
      <c r="D592" s="179">
        <v>18</v>
      </c>
      <c r="E592" s="101">
        <v>1.46</v>
      </c>
      <c r="F592"/>
      <c r="G592"/>
      <c r="H592"/>
      <c r="I592"/>
      <c r="J592"/>
      <c r="K592"/>
      <c r="L592"/>
      <c r="M592"/>
      <c r="N592"/>
    </row>
    <row r="593" spans="1:14" x14ac:dyDescent="0.3">
      <c r="A593" s="179">
        <v>20</v>
      </c>
      <c r="B593" s="104">
        <v>2.17</v>
      </c>
      <c r="C593"/>
      <c r="D593" s="179">
        <v>20</v>
      </c>
      <c r="E593" s="101">
        <v>1.85</v>
      </c>
      <c r="F593"/>
      <c r="G593"/>
      <c r="H593"/>
      <c r="I593"/>
      <c r="J593"/>
      <c r="K593"/>
      <c r="L593"/>
      <c r="M593"/>
      <c r="N593"/>
    </row>
    <row r="594" spans="1:14" x14ac:dyDescent="0.3">
      <c r="A594" s="179">
        <v>24</v>
      </c>
      <c r="B594" s="104">
        <v>2.46</v>
      </c>
      <c r="C594"/>
      <c r="D594" s="179">
        <v>24</v>
      </c>
      <c r="E594" s="101">
        <v>2.09</v>
      </c>
      <c r="F594"/>
      <c r="G594"/>
      <c r="H594"/>
      <c r="I594"/>
      <c r="J594"/>
      <c r="K594"/>
      <c r="L594"/>
      <c r="M594"/>
      <c r="N594"/>
    </row>
    <row r="595" spans="1:14" x14ac:dyDescent="0.3">
      <c r="A595" s="179">
        <v>26</v>
      </c>
      <c r="B595" s="104">
        <v>2.8</v>
      </c>
      <c r="C595"/>
      <c r="D595" s="179">
        <v>26</v>
      </c>
      <c r="E595" s="101">
        <v>2.38</v>
      </c>
      <c r="F595"/>
      <c r="G595"/>
      <c r="H595"/>
      <c r="I595"/>
      <c r="J595"/>
      <c r="K595"/>
      <c r="L595"/>
      <c r="M595"/>
      <c r="N595"/>
    </row>
    <row r="596" spans="1:14" x14ac:dyDescent="0.3">
      <c r="A596" s="179">
        <v>28</v>
      </c>
      <c r="B596" s="104">
        <v>3.13</v>
      </c>
      <c r="C596"/>
      <c r="D596" s="179">
        <v>28</v>
      </c>
      <c r="E596" s="101">
        <v>2.67</v>
      </c>
      <c r="F596"/>
      <c r="G596"/>
      <c r="H596"/>
      <c r="I596"/>
      <c r="J596"/>
      <c r="K596"/>
      <c r="L596"/>
      <c r="M596"/>
      <c r="N596"/>
    </row>
    <row r="597" spans="1:14" x14ac:dyDescent="0.3">
      <c r="A597" s="179">
        <v>30</v>
      </c>
      <c r="B597" s="104">
        <v>3.47</v>
      </c>
      <c r="C597"/>
      <c r="D597" s="179">
        <v>30</v>
      </c>
      <c r="E597" s="101">
        <v>2.95</v>
      </c>
      <c r="F597"/>
      <c r="G597"/>
      <c r="H597"/>
      <c r="I597"/>
      <c r="J597"/>
      <c r="K597"/>
      <c r="L597"/>
      <c r="M597"/>
      <c r="N597"/>
    </row>
    <row r="598" spans="1:14" x14ac:dyDescent="0.3">
      <c r="A598" s="179">
        <v>32</v>
      </c>
      <c r="B598" s="104">
        <v>3.85</v>
      </c>
      <c r="C598"/>
      <c r="D598" s="179">
        <v>32</v>
      </c>
      <c r="E598" s="100">
        <v>3.27</v>
      </c>
      <c r="F598"/>
      <c r="G598"/>
      <c r="H598"/>
      <c r="I598"/>
      <c r="J598"/>
      <c r="K598"/>
      <c r="L598"/>
      <c r="M598"/>
      <c r="N598"/>
    </row>
    <row r="599" spans="1:14" x14ac:dyDescent="0.3">
      <c r="A599" s="179">
        <v>36</v>
      </c>
      <c r="B599" s="104">
        <v>4.5999999999999996</v>
      </c>
      <c r="C599"/>
      <c r="D599" s="179">
        <v>36</v>
      </c>
      <c r="E599" s="100">
        <v>3.91</v>
      </c>
      <c r="F599"/>
      <c r="G599"/>
      <c r="H599"/>
      <c r="I599"/>
      <c r="J599"/>
      <c r="K599"/>
      <c r="L599"/>
      <c r="M599"/>
      <c r="N599"/>
    </row>
    <row r="600" spans="1:14" x14ac:dyDescent="0.3">
      <c r="A600" s="179">
        <v>42</v>
      </c>
      <c r="B600" s="104">
        <v>5.74</v>
      </c>
      <c r="C600"/>
      <c r="D600" s="179">
        <v>42</v>
      </c>
      <c r="E600" s="100">
        <v>4.88</v>
      </c>
      <c r="F600" s="106"/>
      <c r="G600" s="106"/>
      <c r="H600" s="106"/>
      <c r="I600" s="106"/>
      <c r="J600" s="106"/>
      <c r="K600"/>
      <c r="L600"/>
      <c r="M600"/>
      <c r="N600"/>
    </row>
    <row r="601" spans="1:14" x14ac:dyDescent="0.3">
      <c r="A601" s="179">
        <v>48</v>
      </c>
      <c r="B601" s="104">
        <v>7</v>
      </c>
      <c r="C601"/>
      <c r="D601" s="179">
        <v>48</v>
      </c>
      <c r="E601" s="183">
        <v>5.95</v>
      </c>
      <c r="F601" s="106"/>
      <c r="G601" s="106"/>
      <c r="H601" s="106"/>
      <c r="I601" s="106"/>
      <c r="J601" s="106"/>
      <c r="K601"/>
      <c r="L601"/>
      <c r="M601"/>
      <c r="N601"/>
    </row>
    <row r="602" spans="1:14" ht="36" x14ac:dyDescent="0.3">
      <c r="A602" s="83"/>
      <c r="B602" s="84"/>
      <c r="C602"/>
      <c r="E602" s="101" t="s">
        <v>787</v>
      </c>
      <c r="F602"/>
      <c r="G602"/>
      <c r="H602"/>
      <c r="I602"/>
      <c r="J602"/>
      <c r="K602"/>
      <c r="L602"/>
      <c r="M602"/>
      <c r="N602"/>
    </row>
    <row r="603" spans="1:14" x14ac:dyDescent="0.3">
      <c r="A603" s="86" t="s">
        <v>788</v>
      </c>
      <c r="B603" s="104" t="s">
        <v>707</v>
      </c>
      <c r="C603"/>
      <c r="D603" s="86"/>
      <c r="E603" s="101" t="s">
        <v>779</v>
      </c>
      <c r="F603"/>
      <c r="G603"/>
      <c r="H603"/>
      <c r="I603"/>
      <c r="J603"/>
      <c r="K603"/>
      <c r="L603"/>
      <c r="M603"/>
      <c r="N603"/>
    </row>
    <row r="604" spans="1:14" x14ac:dyDescent="0.3">
      <c r="A604" s="179" t="s">
        <v>718</v>
      </c>
      <c r="B604" s="104">
        <v>0.17</v>
      </c>
      <c r="C604"/>
      <c r="D604" s="179" t="s">
        <v>718</v>
      </c>
      <c r="E604" s="101">
        <v>0.14000000000000001</v>
      </c>
      <c r="F604"/>
      <c r="G604"/>
      <c r="H604"/>
      <c r="I604"/>
      <c r="J604"/>
      <c r="K604"/>
      <c r="L604"/>
      <c r="M604"/>
      <c r="N604"/>
    </row>
    <row r="605" spans="1:14" x14ac:dyDescent="0.3">
      <c r="A605" s="179" t="s">
        <v>719</v>
      </c>
      <c r="B605" s="104">
        <v>0.19</v>
      </c>
      <c r="C605"/>
      <c r="D605" s="179" t="s">
        <v>719</v>
      </c>
      <c r="E605" s="101">
        <v>0.16</v>
      </c>
      <c r="F605"/>
      <c r="G605"/>
      <c r="H605"/>
      <c r="I605"/>
      <c r="J605"/>
      <c r="K605"/>
      <c r="L605"/>
      <c r="M605"/>
      <c r="N605"/>
    </row>
    <row r="606" spans="1:14" x14ac:dyDescent="0.3">
      <c r="A606" s="179">
        <v>1</v>
      </c>
      <c r="B606" s="104">
        <v>0.23</v>
      </c>
      <c r="C606"/>
      <c r="D606" s="179">
        <v>1</v>
      </c>
      <c r="E606" s="101">
        <v>0.2</v>
      </c>
      <c r="F606"/>
      <c r="G606"/>
      <c r="H606"/>
      <c r="I606"/>
      <c r="J606"/>
      <c r="K606"/>
      <c r="L606"/>
      <c r="M606"/>
      <c r="N606"/>
    </row>
    <row r="607" spans="1:14" x14ac:dyDescent="0.3">
      <c r="A607" s="179" t="s">
        <v>720</v>
      </c>
      <c r="B607" s="104">
        <v>0.26</v>
      </c>
      <c r="C607"/>
      <c r="D607" s="179" t="s">
        <v>720</v>
      </c>
      <c r="E607" s="101">
        <v>0.22</v>
      </c>
      <c r="F607"/>
      <c r="G607"/>
      <c r="H607"/>
      <c r="I607"/>
      <c r="J607"/>
      <c r="K607"/>
      <c r="L607"/>
      <c r="M607"/>
      <c r="N607"/>
    </row>
    <row r="608" spans="1:14" x14ac:dyDescent="0.3">
      <c r="A608" s="179">
        <v>2</v>
      </c>
      <c r="B608" s="104">
        <v>0.42</v>
      </c>
      <c r="C608"/>
      <c r="D608" s="179">
        <v>2</v>
      </c>
      <c r="E608" s="101">
        <v>0.36</v>
      </c>
      <c r="F608"/>
      <c r="G608"/>
      <c r="H608"/>
      <c r="I608"/>
      <c r="J608"/>
      <c r="K608"/>
      <c r="L608"/>
      <c r="M608"/>
      <c r="N608"/>
    </row>
    <row r="609" spans="1:14" x14ac:dyDescent="0.3">
      <c r="A609" s="179" t="s">
        <v>721</v>
      </c>
      <c r="B609" s="104">
        <v>0.46</v>
      </c>
      <c r="C609"/>
      <c r="D609" s="179" t="s">
        <v>721</v>
      </c>
      <c r="E609" s="101">
        <v>0.39</v>
      </c>
      <c r="F609"/>
      <c r="G609"/>
      <c r="H609"/>
      <c r="I609"/>
      <c r="J609"/>
      <c r="K609"/>
      <c r="L609"/>
      <c r="M609"/>
      <c r="N609"/>
    </row>
    <row r="610" spans="1:14" x14ac:dyDescent="0.3">
      <c r="A610" s="179">
        <v>3</v>
      </c>
      <c r="B610" s="104">
        <v>0.49</v>
      </c>
      <c r="C610"/>
      <c r="D610" s="179">
        <v>3</v>
      </c>
      <c r="E610" s="101">
        <v>0.41</v>
      </c>
      <c r="F610"/>
      <c r="G610"/>
      <c r="H610"/>
      <c r="I610"/>
      <c r="J610"/>
      <c r="K610"/>
      <c r="L610"/>
      <c r="M610"/>
      <c r="N610"/>
    </row>
    <row r="611" spans="1:14" x14ac:dyDescent="0.3">
      <c r="A611" s="179">
        <v>4</v>
      </c>
      <c r="B611" s="104">
        <v>0.55000000000000004</v>
      </c>
      <c r="C611"/>
      <c r="D611" s="179">
        <v>4</v>
      </c>
      <c r="E611" s="101">
        <v>0.47</v>
      </c>
      <c r="F611"/>
      <c r="G611"/>
      <c r="H611"/>
      <c r="I611"/>
      <c r="J611"/>
      <c r="K611"/>
      <c r="L611"/>
      <c r="M611"/>
      <c r="N611"/>
    </row>
    <row r="612" spans="1:14" x14ac:dyDescent="0.3">
      <c r="A612" s="179">
        <v>6</v>
      </c>
      <c r="B612" s="104">
        <v>0.81</v>
      </c>
      <c r="C612"/>
      <c r="D612" s="179">
        <v>6</v>
      </c>
      <c r="E612" s="101">
        <v>0.69</v>
      </c>
      <c r="F612"/>
      <c r="G612"/>
      <c r="H612"/>
      <c r="I612"/>
      <c r="J612"/>
      <c r="K612"/>
      <c r="L612"/>
      <c r="M612"/>
      <c r="N612"/>
    </row>
    <row r="613" spans="1:14" x14ac:dyDescent="0.3">
      <c r="A613" s="179">
        <v>8</v>
      </c>
      <c r="B613" s="104">
        <v>0.94</v>
      </c>
      <c r="C613"/>
      <c r="D613" s="179">
        <v>8</v>
      </c>
      <c r="E613" s="101">
        <v>0.8</v>
      </c>
      <c r="F613"/>
      <c r="G613"/>
      <c r="H613"/>
      <c r="I613"/>
      <c r="J613"/>
      <c r="K613"/>
      <c r="L613"/>
      <c r="M613"/>
      <c r="N613"/>
    </row>
    <row r="614" spans="1:14" x14ac:dyDescent="0.3">
      <c r="A614" s="179">
        <v>10</v>
      </c>
      <c r="B614" s="104">
        <v>1.46</v>
      </c>
      <c r="C614"/>
      <c r="D614" s="179">
        <v>10</v>
      </c>
      <c r="E614" s="101">
        <v>1.24</v>
      </c>
      <c r="F614"/>
      <c r="G614"/>
      <c r="H614"/>
      <c r="I614"/>
      <c r="J614"/>
      <c r="K614"/>
      <c r="L614"/>
      <c r="M614"/>
      <c r="N614"/>
    </row>
    <row r="615" spans="1:14" x14ac:dyDescent="0.3">
      <c r="A615" s="179">
        <v>12</v>
      </c>
      <c r="B615" s="104">
        <v>1.66</v>
      </c>
      <c r="C615"/>
      <c r="D615" s="179">
        <v>12</v>
      </c>
      <c r="E615" s="101">
        <v>1.41</v>
      </c>
      <c r="F615"/>
      <c r="G615"/>
      <c r="H615"/>
      <c r="I615"/>
      <c r="J615"/>
      <c r="K615"/>
      <c r="L615"/>
      <c r="M615"/>
      <c r="N615"/>
    </row>
    <row r="616" spans="1:14" x14ac:dyDescent="0.3">
      <c r="A616" s="179">
        <v>14</v>
      </c>
      <c r="B616" s="104">
        <v>2.17</v>
      </c>
      <c r="C616"/>
      <c r="D616" s="179">
        <v>14</v>
      </c>
      <c r="E616" s="101">
        <v>1.85</v>
      </c>
      <c r="F616"/>
      <c r="G616"/>
      <c r="H616"/>
      <c r="I616"/>
      <c r="J616"/>
      <c r="K616"/>
      <c r="L616"/>
      <c r="M616"/>
      <c r="N616"/>
    </row>
    <row r="617" spans="1:14" x14ac:dyDescent="0.3">
      <c r="A617" s="179">
        <v>16</v>
      </c>
      <c r="B617" s="104">
        <v>2.4300000000000002</v>
      </c>
      <c r="C617"/>
      <c r="D617" s="179">
        <v>16</v>
      </c>
      <c r="E617" s="101">
        <v>2.0699999999999998</v>
      </c>
      <c r="F617"/>
      <c r="G617"/>
      <c r="H617"/>
      <c r="I617"/>
      <c r="J617"/>
      <c r="K617"/>
      <c r="L617"/>
      <c r="M617"/>
      <c r="N617"/>
    </row>
    <row r="618" spans="1:14" x14ac:dyDescent="0.3">
      <c r="A618" s="179">
        <v>18</v>
      </c>
      <c r="B618" s="104">
        <v>2.95</v>
      </c>
      <c r="C618"/>
      <c r="D618" s="179">
        <v>18</v>
      </c>
      <c r="E618" s="101">
        <v>2.5099999999999998</v>
      </c>
      <c r="F618"/>
      <c r="G618"/>
      <c r="H618"/>
      <c r="I618"/>
      <c r="J618"/>
      <c r="K618"/>
      <c r="L618"/>
      <c r="M618"/>
      <c r="N618"/>
    </row>
    <row r="619" spans="1:14" x14ac:dyDescent="0.3">
      <c r="A619" s="179">
        <v>20</v>
      </c>
      <c r="B619" s="104">
        <v>3.21</v>
      </c>
      <c r="C619"/>
      <c r="D619" s="179">
        <v>20</v>
      </c>
      <c r="E619" s="101">
        <v>2.73</v>
      </c>
      <c r="F619"/>
      <c r="G619"/>
      <c r="H619"/>
      <c r="I619"/>
      <c r="J619"/>
      <c r="K619"/>
      <c r="L619"/>
      <c r="M619"/>
      <c r="N619"/>
    </row>
    <row r="620" spans="1:14" x14ac:dyDescent="0.3">
      <c r="A620" s="179">
        <v>24</v>
      </c>
      <c r="B620" s="104">
        <v>3.47</v>
      </c>
      <c r="C620"/>
      <c r="D620" s="179">
        <v>24</v>
      </c>
      <c r="E620" s="101">
        <v>2.95</v>
      </c>
      <c r="F620"/>
      <c r="G620"/>
      <c r="H620"/>
      <c r="I620"/>
      <c r="J620"/>
      <c r="K620"/>
      <c r="L620"/>
      <c r="M620"/>
      <c r="N620"/>
    </row>
    <row r="621" spans="1:14" x14ac:dyDescent="0.3">
      <c r="A621" s="179">
        <v>26</v>
      </c>
      <c r="B621" s="104">
        <v>3.86</v>
      </c>
      <c r="C621"/>
      <c r="D621" s="179">
        <v>26</v>
      </c>
      <c r="E621" s="101">
        <v>3.28</v>
      </c>
      <c r="F621"/>
      <c r="G621"/>
      <c r="H621"/>
      <c r="I621"/>
      <c r="J621"/>
      <c r="K621"/>
      <c r="L621"/>
      <c r="M621"/>
      <c r="N621"/>
    </row>
    <row r="622" spans="1:14" x14ac:dyDescent="0.3">
      <c r="A622" s="179">
        <v>28</v>
      </c>
      <c r="B622" s="104">
        <v>4.25</v>
      </c>
      <c r="C622"/>
      <c r="D622" s="179">
        <v>28</v>
      </c>
      <c r="E622" s="101">
        <v>3.61</v>
      </c>
      <c r="F622"/>
      <c r="G622"/>
      <c r="H622"/>
      <c r="I622"/>
      <c r="J622"/>
      <c r="K622"/>
      <c r="L622"/>
      <c r="M622"/>
      <c r="N622"/>
    </row>
    <row r="623" spans="1:14" x14ac:dyDescent="0.3">
      <c r="A623" s="179">
        <v>30</v>
      </c>
      <c r="B623" s="104">
        <v>4.6399999999999997</v>
      </c>
      <c r="C623"/>
      <c r="D623" s="179">
        <v>30</v>
      </c>
      <c r="E623" s="100">
        <v>3.94</v>
      </c>
      <c r="F623"/>
      <c r="G623"/>
      <c r="H623"/>
      <c r="I623"/>
      <c r="J623"/>
      <c r="K623"/>
      <c r="L623"/>
      <c r="M623"/>
      <c r="N623"/>
    </row>
    <row r="624" spans="1:14" x14ac:dyDescent="0.3">
      <c r="A624" s="179">
        <v>32</v>
      </c>
      <c r="B624" s="104">
        <v>5.03</v>
      </c>
      <c r="C624"/>
      <c r="D624" s="179">
        <v>32</v>
      </c>
      <c r="E624" s="100">
        <v>4.2699999999999996</v>
      </c>
      <c r="F624"/>
      <c r="G624"/>
      <c r="H624"/>
      <c r="I624"/>
      <c r="J624"/>
      <c r="K624"/>
      <c r="L624"/>
      <c r="M624"/>
      <c r="N624"/>
    </row>
    <row r="625" spans="1:14" x14ac:dyDescent="0.3">
      <c r="A625" s="179">
        <v>36</v>
      </c>
      <c r="B625" s="104">
        <v>5.8</v>
      </c>
      <c r="C625"/>
      <c r="D625" s="179">
        <v>36</v>
      </c>
      <c r="E625" s="100">
        <v>4.93</v>
      </c>
      <c r="F625"/>
      <c r="G625"/>
      <c r="H625"/>
      <c r="I625"/>
      <c r="J625"/>
      <c r="K625"/>
      <c r="L625"/>
      <c r="M625"/>
      <c r="N625"/>
    </row>
    <row r="626" spans="1:14" x14ac:dyDescent="0.3">
      <c r="A626" s="179">
        <v>42</v>
      </c>
      <c r="B626" s="101"/>
      <c r="C626"/>
      <c r="D626" s="179">
        <v>42</v>
      </c>
      <c r="E626" s="183"/>
      <c r="F626"/>
      <c r="G626"/>
      <c r="H626"/>
      <c r="I626"/>
      <c r="J626"/>
      <c r="K626"/>
      <c r="L626"/>
      <c r="M626"/>
      <c r="N626"/>
    </row>
    <row r="627" spans="1:14" x14ac:dyDescent="0.3">
      <c r="A627" s="179">
        <v>48</v>
      </c>
      <c r="B627" s="101"/>
      <c r="C627"/>
      <c r="D627" s="179">
        <v>48</v>
      </c>
      <c r="E627" s="101"/>
      <c r="F627"/>
      <c r="G627"/>
      <c r="H627"/>
      <c r="I627"/>
      <c r="J627"/>
      <c r="K627"/>
      <c r="L627"/>
      <c r="M627"/>
      <c r="N627"/>
    </row>
    <row r="628" spans="1:14" ht="36" x14ac:dyDescent="0.3">
      <c r="A628" s="83"/>
      <c r="B628" s="84"/>
      <c r="C628"/>
      <c r="E628" s="101" t="s">
        <v>789</v>
      </c>
      <c r="F628"/>
      <c r="G628"/>
      <c r="H628"/>
      <c r="I628"/>
      <c r="J628"/>
      <c r="K628"/>
      <c r="L628"/>
      <c r="M628"/>
      <c r="N628"/>
    </row>
    <row r="629" spans="1:14" x14ac:dyDescent="0.3">
      <c r="A629" s="86" t="s">
        <v>790</v>
      </c>
      <c r="B629" s="104" t="s">
        <v>707</v>
      </c>
      <c r="C629"/>
      <c r="D629" s="86"/>
      <c r="E629" s="101" t="s">
        <v>779</v>
      </c>
      <c r="F629"/>
      <c r="G629"/>
      <c r="H629"/>
      <c r="I629"/>
      <c r="J629"/>
      <c r="K629"/>
      <c r="L629"/>
      <c r="M629"/>
      <c r="N629"/>
    </row>
    <row r="630" spans="1:14" x14ac:dyDescent="0.3">
      <c r="A630" s="179" t="s">
        <v>718</v>
      </c>
      <c r="B630" s="104">
        <v>0.17</v>
      </c>
      <c r="C630"/>
      <c r="D630" s="179" t="s">
        <v>718</v>
      </c>
      <c r="E630" s="101">
        <v>0.14000000000000001</v>
      </c>
      <c r="F630"/>
      <c r="G630"/>
      <c r="H630"/>
      <c r="I630"/>
      <c r="J630"/>
      <c r="K630"/>
      <c r="L630"/>
      <c r="M630"/>
      <c r="N630"/>
    </row>
    <row r="631" spans="1:14" x14ac:dyDescent="0.3">
      <c r="A631" s="179" t="s">
        <v>719</v>
      </c>
      <c r="B631" s="104">
        <v>0.19</v>
      </c>
      <c r="C631"/>
      <c r="D631" s="179" t="s">
        <v>719</v>
      </c>
      <c r="E631" s="101">
        <v>0.16</v>
      </c>
      <c r="F631"/>
      <c r="G631"/>
      <c r="H631"/>
      <c r="I631"/>
      <c r="J631"/>
      <c r="K631"/>
      <c r="L631"/>
      <c r="M631"/>
      <c r="N631"/>
    </row>
    <row r="632" spans="1:14" x14ac:dyDescent="0.3">
      <c r="A632" s="179">
        <v>1</v>
      </c>
      <c r="B632" s="104">
        <v>0.23</v>
      </c>
      <c r="C632"/>
      <c r="D632" s="179">
        <v>1</v>
      </c>
      <c r="E632" s="101">
        <v>0.2</v>
      </c>
      <c r="F632"/>
      <c r="G632"/>
      <c r="H632"/>
      <c r="I632"/>
      <c r="J632"/>
      <c r="K632"/>
      <c r="L632"/>
      <c r="M632"/>
      <c r="N632"/>
    </row>
    <row r="633" spans="1:14" x14ac:dyDescent="0.3">
      <c r="A633" s="179" t="s">
        <v>720</v>
      </c>
      <c r="B633" s="104">
        <v>0.26</v>
      </c>
      <c r="C633"/>
      <c r="D633" s="179" t="s">
        <v>720</v>
      </c>
      <c r="E633" s="101">
        <v>0.22</v>
      </c>
      <c r="F633"/>
      <c r="G633"/>
      <c r="H633"/>
      <c r="I633"/>
      <c r="J633"/>
      <c r="K633"/>
      <c r="L633"/>
      <c r="M633"/>
      <c r="N633"/>
    </row>
    <row r="634" spans="1:14" x14ac:dyDescent="0.3">
      <c r="A634" s="179">
        <v>2</v>
      </c>
      <c r="B634" s="104">
        <v>0.42</v>
      </c>
      <c r="C634"/>
      <c r="D634" s="179">
        <v>2</v>
      </c>
      <c r="E634" s="101">
        <v>0.36</v>
      </c>
      <c r="F634"/>
      <c r="G634"/>
      <c r="H634"/>
      <c r="I634"/>
      <c r="J634"/>
      <c r="K634"/>
      <c r="L634"/>
      <c r="M634"/>
      <c r="N634"/>
    </row>
    <row r="635" spans="1:14" x14ac:dyDescent="0.3">
      <c r="A635" s="179" t="s">
        <v>721</v>
      </c>
      <c r="B635" s="104">
        <v>0.48</v>
      </c>
      <c r="C635"/>
      <c r="D635" s="179" t="s">
        <v>721</v>
      </c>
      <c r="E635" s="101">
        <v>0.4</v>
      </c>
      <c r="F635"/>
      <c r="G635"/>
      <c r="H635"/>
      <c r="I635"/>
      <c r="J635"/>
      <c r="K635"/>
      <c r="L635"/>
      <c r="M635"/>
      <c r="N635"/>
    </row>
    <row r="636" spans="1:14" x14ac:dyDescent="0.3">
      <c r="A636" s="179">
        <v>3</v>
      </c>
      <c r="B636" s="104">
        <v>0.52</v>
      </c>
      <c r="C636"/>
      <c r="D636" s="179">
        <v>3</v>
      </c>
      <c r="E636" s="101">
        <v>0.44</v>
      </c>
      <c r="F636"/>
      <c r="G636"/>
      <c r="H636"/>
      <c r="I636"/>
      <c r="J636"/>
      <c r="K636"/>
      <c r="L636"/>
      <c r="M636"/>
      <c r="N636"/>
    </row>
    <row r="637" spans="1:14" x14ac:dyDescent="0.3">
      <c r="A637" s="179">
        <v>4</v>
      </c>
      <c r="B637" s="104">
        <v>0.62</v>
      </c>
      <c r="C637"/>
      <c r="D637" s="179">
        <v>4</v>
      </c>
      <c r="E637" s="101">
        <v>0.52</v>
      </c>
      <c r="F637"/>
      <c r="G637"/>
      <c r="H637"/>
      <c r="I637"/>
      <c r="J637"/>
      <c r="K637"/>
      <c r="L637"/>
      <c r="M637"/>
      <c r="N637"/>
    </row>
    <row r="638" spans="1:14" x14ac:dyDescent="0.3">
      <c r="A638" s="179">
        <v>6</v>
      </c>
      <c r="B638" s="104">
        <v>1.01</v>
      </c>
      <c r="C638"/>
      <c r="D638" s="179">
        <v>6</v>
      </c>
      <c r="E638" s="101">
        <v>0.86</v>
      </c>
      <c r="F638"/>
      <c r="G638"/>
      <c r="H638"/>
      <c r="I638"/>
      <c r="J638"/>
      <c r="K638"/>
      <c r="L638"/>
      <c r="M638"/>
      <c r="N638"/>
    </row>
    <row r="639" spans="1:14" x14ac:dyDescent="0.3">
      <c r="A639" s="179">
        <v>8</v>
      </c>
      <c r="B639" s="104">
        <v>1.2</v>
      </c>
      <c r="C639"/>
      <c r="D639" s="179">
        <v>8</v>
      </c>
      <c r="E639" s="101">
        <v>1.02</v>
      </c>
      <c r="F639"/>
      <c r="G639"/>
      <c r="H639"/>
      <c r="I639"/>
      <c r="J639"/>
      <c r="K639"/>
      <c r="L639"/>
      <c r="M639"/>
      <c r="N639"/>
    </row>
    <row r="640" spans="1:14" x14ac:dyDescent="0.3">
      <c r="A640" s="179">
        <v>10</v>
      </c>
      <c r="B640" s="104">
        <v>1.85</v>
      </c>
      <c r="C640"/>
      <c r="D640" s="179">
        <v>10</v>
      </c>
      <c r="E640" s="101">
        <v>1.57</v>
      </c>
      <c r="F640"/>
      <c r="G640"/>
      <c r="H640"/>
      <c r="I640"/>
      <c r="J640"/>
      <c r="K640"/>
      <c r="L640"/>
      <c r="M640"/>
      <c r="N640"/>
    </row>
    <row r="641" spans="1:14" x14ac:dyDescent="0.3">
      <c r="A641" s="179">
        <v>12</v>
      </c>
      <c r="B641" s="104">
        <v>2.5</v>
      </c>
      <c r="C641"/>
      <c r="D641" s="179">
        <v>12</v>
      </c>
      <c r="E641" s="101">
        <v>2.12</v>
      </c>
      <c r="F641"/>
      <c r="G641"/>
      <c r="H641"/>
      <c r="I641"/>
      <c r="J641"/>
      <c r="K641"/>
      <c r="L641"/>
      <c r="M641"/>
      <c r="N641"/>
    </row>
    <row r="642" spans="1:14" x14ac:dyDescent="0.3">
      <c r="A642" s="179">
        <v>14</v>
      </c>
      <c r="B642" s="104">
        <v>2.76</v>
      </c>
      <c r="C642"/>
      <c r="D642" s="179">
        <v>14</v>
      </c>
      <c r="E642" s="101">
        <v>2.35</v>
      </c>
      <c r="F642"/>
      <c r="G642"/>
      <c r="H642"/>
      <c r="I642"/>
      <c r="J642"/>
      <c r="K642"/>
      <c r="L642"/>
      <c r="M642"/>
      <c r="N642"/>
    </row>
    <row r="643" spans="1:14" x14ac:dyDescent="0.3">
      <c r="A643" s="179">
        <v>16</v>
      </c>
      <c r="B643" s="104">
        <v>3.02</v>
      </c>
      <c r="C643"/>
      <c r="D643" s="179">
        <v>16</v>
      </c>
      <c r="E643" s="101">
        <v>2.56</v>
      </c>
      <c r="F643"/>
      <c r="G643"/>
      <c r="H643"/>
      <c r="I643"/>
      <c r="J643"/>
      <c r="K643"/>
      <c r="L643"/>
      <c r="M643"/>
      <c r="N643"/>
    </row>
    <row r="644" spans="1:14" x14ac:dyDescent="0.3">
      <c r="A644" s="179">
        <v>18</v>
      </c>
      <c r="B644" s="104">
        <v>3.28</v>
      </c>
      <c r="C644"/>
      <c r="D644" s="179">
        <v>18</v>
      </c>
      <c r="E644" s="101">
        <v>2.79</v>
      </c>
      <c r="F644"/>
      <c r="G644"/>
      <c r="H644"/>
      <c r="I644"/>
      <c r="J644"/>
      <c r="K644"/>
      <c r="L644"/>
      <c r="M644"/>
      <c r="N644"/>
    </row>
    <row r="645" spans="1:14" x14ac:dyDescent="0.3">
      <c r="A645" s="179">
        <v>20</v>
      </c>
      <c r="B645" s="104">
        <v>3.92</v>
      </c>
      <c r="C645"/>
      <c r="D645" s="179">
        <v>20</v>
      </c>
      <c r="E645" s="101">
        <v>3.34</v>
      </c>
      <c r="F645"/>
      <c r="G645"/>
      <c r="H645"/>
      <c r="I645"/>
      <c r="J645"/>
      <c r="K645"/>
      <c r="L645"/>
      <c r="M645"/>
      <c r="N645"/>
    </row>
    <row r="646" spans="1:14" x14ac:dyDescent="0.3">
      <c r="A646" s="179">
        <v>24</v>
      </c>
      <c r="B646" s="104">
        <v>4.3099999999999996</v>
      </c>
      <c r="C646"/>
      <c r="D646" s="179">
        <v>24</v>
      </c>
      <c r="E646" s="101">
        <v>3.67</v>
      </c>
      <c r="F646"/>
      <c r="G646"/>
      <c r="H646"/>
      <c r="I646"/>
      <c r="J646"/>
      <c r="K646"/>
      <c r="L646"/>
      <c r="M646"/>
      <c r="N646"/>
    </row>
    <row r="647" spans="1:14" x14ac:dyDescent="0.3">
      <c r="A647" s="179">
        <v>26</v>
      </c>
      <c r="B647" s="104">
        <v>4.57</v>
      </c>
      <c r="C647"/>
      <c r="D647" s="179">
        <v>26</v>
      </c>
      <c r="E647" s="101">
        <v>3.89</v>
      </c>
      <c r="F647" s="106"/>
      <c r="G647" s="106"/>
      <c r="H647" s="106"/>
      <c r="I647"/>
      <c r="J647"/>
      <c r="K647"/>
      <c r="L647"/>
      <c r="M647"/>
      <c r="N647"/>
    </row>
    <row r="648" spans="1:14" x14ac:dyDescent="0.3">
      <c r="A648" s="179">
        <v>28</v>
      </c>
      <c r="B648" s="104">
        <v>4.83</v>
      </c>
      <c r="C648"/>
      <c r="D648" s="179">
        <v>28</v>
      </c>
      <c r="E648" s="100">
        <v>4.0999999999999996</v>
      </c>
      <c r="F648" s="106"/>
      <c r="G648" s="106"/>
      <c r="H648" s="106"/>
      <c r="I648"/>
      <c r="J648"/>
      <c r="K648"/>
      <c r="L648"/>
      <c r="M648"/>
      <c r="N648"/>
    </row>
    <row r="649" spans="1:14" x14ac:dyDescent="0.3">
      <c r="A649" s="179">
        <v>30</v>
      </c>
      <c r="B649" s="104">
        <v>5.09</v>
      </c>
      <c r="C649"/>
      <c r="D649" s="179">
        <v>30</v>
      </c>
      <c r="E649" s="100">
        <v>4.32</v>
      </c>
      <c r="F649" s="106"/>
      <c r="G649" s="106"/>
      <c r="H649" s="106"/>
      <c r="I649"/>
      <c r="J649"/>
      <c r="K649"/>
      <c r="L649"/>
      <c r="M649"/>
      <c r="N649"/>
    </row>
    <row r="650" spans="1:14" x14ac:dyDescent="0.3">
      <c r="A650" s="179">
        <v>32</v>
      </c>
      <c r="B650" s="104">
        <v>5.24</v>
      </c>
      <c r="C650"/>
      <c r="D650" s="179">
        <v>32</v>
      </c>
      <c r="E650" s="100">
        <v>4.45</v>
      </c>
      <c r="F650" s="106"/>
      <c r="G650" s="106"/>
      <c r="H650" s="106"/>
      <c r="I650"/>
      <c r="J650"/>
      <c r="K650"/>
      <c r="L650"/>
      <c r="M650"/>
      <c r="N650"/>
    </row>
    <row r="651" spans="1:14" x14ac:dyDescent="0.3">
      <c r="A651" s="179">
        <v>36</v>
      </c>
      <c r="B651" s="104">
        <v>5.54</v>
      </c>
      <c r="C651"/>
      <c r="D651" s="179">
        <v>36</v>
      </c>
      <c r="E651" s="183">
        <v>4.71</v>
      </c>
      <c r="F651" s="106"/>
      <c r="G651" s="106"/>
      <c r="H651" s="106"/>
      <c r="I651"/>
      <c r="J651"/>
      <c r="K651"/>
      <c r="L651"/>
      <c r="M651"/>
      <c r="N651"/>
    </row>
    <row r="652" spans="1:14" x14ac:dyDescent="0.3">
      <c r="A652" s="179">
        <v>42</v>
      </c>
      <c r="B652" s="101"/>
      <c r="C652"/>
      <c r="D652" s="179">
        <v>42</v>
      </c>
      <c r="E652" s="101"/>
      <c r="F652"/>
      <c r="G652"/>
      <c r="H652"/>
      <c r="I652"/>
      <c r="J652"/>
      <c r="K652"/>
      <c r="L652"/>
      <c r="M652"/>
      <c r="N652"/>
    </row>
    <row r="653" spans="1:14" x14ac:dyDescent="0.3">
      <c r="A653" s="179">
        <v>48</v>
      </c>
      <c r="B653" s="101"/>
      <c r="C653"/>
      <c r="D653" s="179">
        <v>48</v>
      </c>
      <c r="E653" s="101"/>
      <c r="F653"/>
      <c r="G653"/>
      <c r="H653"/>
      <c r="I653"/>
      <c r="J653"/>
      <c r="K653"/>
      <c r="L653"/>
      <c r="M653"/>
      <c r="N653"/>
    </row>
    <row r="654" spans="1:14" ht="36" x14ac:dyDescent="0.3">
      <c r="A654" s="83"/>
      <c r="B654" s="84"/>
      <c r="C654"/>
      <c r="E654" s="101" t="s">
        <v>791</v>
      </c>
      <c r="F654"/>
      <c r="G654"/>
      <c r="H654"/>
      <c r="I654"/>
      <c r="J654"/>
      <c r="K654"/>
      <c r="L654"/>
      <c r="M654"/>
      <c r="N654"/>
    </row>
    <row r="655" spans="1:14" x14ac:dyDescent="0.3">
      <c r="A655" s="86" t="s">
        <v>792</v>
      </c>
      <c r="B655" s="104" t="s">
        <v>707</v>
      </c>
      <c r="C655"/>
      <c r="D655" s="86"/>
      <c r="E655" s="101" t="s">
        <v>779</v>
      </c>
      <c r="F655"/>
      <c r="G655"/>
      <c r="H655"/>
      <c r="I655"/>
      <c r="J655"/>
      <c r="K655"/>
      <c r="L655"/>
      <c r="M655"/>
      <c r="N655"/>
    </row>
    <row r="656" spans="1:14" x14ac:dyDescent="0.3">
      <c r="A656" s="179" t="s">
        <v>718</v>
      </c>
      <c r="B656" s="104">
        <v>0.17</v>
      </c>
      <c r="C656"/>
      <c r="D656" s="179" t="s">
        <v>718</v>
      </c>
      <c r="E656" s="101">
        <v>0.14000000000000001</v>
      </c>
      <c r="F656"/>
      <c r="G656"/>
      <c r="H656"/>
      <c r="I656"/>
      <c r="J656"/>
      <c r="K656"/>
      <c r="L656"/>
      <c r="M656"/>
      <c r="N656"/>
    </row>
    <row r="657" spans="1:14" x14ac:dyDescent="0.3">
      <c r="A657" s="179" t="s">
        <v>719</v>
      </c>
      <c r="B657" s="104">
        <v>0.19</v>
      </c>
      <c r="C657"/>
      <c r="D657" s="179" t="s">
        <v>719</v>
      </c>
      <c r="E657" s="101">
        <v>0.16</v>
      </c>
      <c r="F657"/>
      <c r="G657"/>
      <c r="H657"/>
      <c r="I657"/>
      <c r="J657"/>
      <c r="K657"/>
      <c r="L657"/>
      <c r="M657"/>
      <c r="N657"/>
    </row>
    <row r="658" spans="1:14" x14ac:dyDescent="0.3">
      <c r="A658" s="179">
        <v>1</v>
      </c>
      <c r="B658" s="104">
        <v>0.23</v>
      </c>
      <c r="C658"/>
      <c r="D658" s="179">
        <v>1</v>
      </c>
      <c r="E658" s="101">
        <v>0.2</v>
      </c>
      <c r="F658"/>
      <c r="G658"/>
      <c r="H658"/>
      <c r="I658"/>
      <c r="J658"/>
      <c r="K658"/>
      <c r="L658"/>
      <c r="M658"/>
      <c r="N658"/>
    </row>
    <row r="659" spans="1:14" x14ac:dyDescent="0.3">
      <c r="A659" s="179" t="s">
        <v>720</v>
      </c>
      <c r="B659" s="104">
        <v>0.26</v>
      </c>
      <c r="C659"/>
      <c r="D659" s="179" t="s">
        <v>720</v>
      </c>
      <c r="E659" s="101">
        <v>0.22</v>
      </c>
      <c r="F659"/>
      <c r="G659"/>
      <c r="H659"/>
      <c r="I659"/>
      <c r="J659"/>
      <c r="K659"/>
      <c r="L659"/>
      <c r="M659"/>
      <c r="N659"/>
    </row>
    <row r="660" spans="1:14" x14ac:dyDescent="0.3">
      <c r="A660" s="179">
        <v>2</v>
      </c>
      <c r="B660" s="104">
        <v>0.52</v>
      </c>
      <c r="C660"/>
      <c r="D660" s="179">
        <v>2</v>
      </c>
      <c r="E660" s="101">
        <v>0.44</v>
      </c>
      <c r="F660"/>
      <c r="G660"/>
      <c r="H660"/>
      <c r="I660"/>
      <c r="J660"/>
      <c r="K660"/>
      <c r="L660"/>
      <c r="M660"/>
      <c r="N660"/>
    </row>
    <row r="661" spans="1:14" x14ac:dyDescent="0.3">
      <c r="A661" s="179" t="s">
        <v>721</v>
      </c>
      <c r="B661" s="104">
        <v>0.56999999999999995</v>
      </c>
      <c r="C661"/>
      <c r="D661" s="179" t="s">
        <v>721</v>
      </c>
      <c r="E661" s="101">
        <v>0.48</v>
      </c>
      <c r="F661"/>
      <c r="G661"/>
      <c r="H661"/>
      <c r="I661"/>
      <c r="J661"/>
      <c r="K661"/>
      <c r="L661"/>
      <c r="M661"/>
      <c r="N661"/>
    </row>
    <row r="662" spans="1:14" x14ac:dyDescent="0.3">
      <c r="A662" s="179">
        <v>3</v>
      </c>
      <c r="B662" s="104">
        <v>0.62</v>
      </c>
      <c r="C662"/>
      <c r="D662" s="179">
        <v>3</v>
      </c>
      <c r="E662" s="101">
        <v>0.52</v>
      </c>
      <c r="F662"/>
      <c r="G662"/>
      <c r="H662"/>
      <c r="I662"/>
      <c r="J662"/>
      <c r="K662"/>
      <c r="L662"/>
      <c r="M662"/>
      <c r="N662"/>
    </row>
    <row r="663" spans="1:14" x14ac:dyDescent="0.3">
      <c r="A663" s="179">
        <v>4</v>
      </c>
      <c r="B663" s="104">
        <v>0.71</v>
      </c>
      <c r="C663"/>
      <c r="D663" s="179">
        <v>4</v>
      </c>
      <c r="E663" s="101">
        <v>0.61</v>
      </c>
      <c r="F663"/>
      <c r="G663"/>
      <c r="H663"/>
      <c r="I663"/>
      <c r="J663"/>
      <c r="K663"/>
      <c r="L663"/>
      <c r="M663"/>
      <c r="N663"/>
    </row>
    <row r="664" spans="1:14" x14ac:dyDescent="0.3">
      <c r="A664" s="179">
        <v>6</v>
      </c>
      <c r="B664" s="104">
        <v>1.23</v>
      </c>
      <c r="C664"/>
      <c r="D664" s="179">
        <v>6</v>
      </c>
      <c r="E664" s="101">
        <v>1.05</v>
      </c>
      <c r="F664"/>
      <c r="G664"/>
      <c r="H664"/>
      <c r="I664"/>
      <c r="J664"/>
      <c r="K664"/>
      <c r="L664"/>
      <c r="M664"/>
      <c r="N664"/>
    </row>
    <row r="665" spans="1:14" x14ac:dyDescent="0.3">
      <c r="A665" s="179">
        <v>8</v>
      </c>
      <c r="B665" s="104">
        <v>1.68</v>
      </c>
      <c r="C665"/>
      <c r="D665" s="179">
        <v>8</v>
      </c>
      <c r="E665" s="101">
        <v>1.26</v>
      </c>
      <c r="F665"/>
      <c r="G665"/>
      <c r="H665"/>
      <c r="I665"/>
      <c r="J665"/>
      <c r="K665"/>
      <c r="L665"/>
      <c r="M665"/>
      <c r="N665"/>
    </row>
    <row r="666" spans="1:14" x14ac:dyDescent="0.3">
      <c r="A666" s="179">
        <v>10</v>
      </c>
      <c r="B666" s="104">
        <v>2.14</v>
      </c>
      <c r="C666"/>
      <c r="D666" s="179">
        <v>10</v>
      </c>
      <c r="E666" s="101">
        <v>1.82</v>
      </c>
      <c r="F666"/>
      <c r="G666"/>
      <c r="H666"/>
      <c r="I666"/>
      <c r="J666"/>
      <c r="K666"/>
      <c r="L666"/>
      <c r="M666"/>
      <c r="N666"/>
    </row>
    <row r="667" spans="1:14" x14ac:dyDescent="0.3">
      <c r="A667" s="179">
        <v>12</v>
      </c>
      <c r="B667" s="104">
        <v>2.59</v>
      </c>
      <c r="C667"/>
      <c r="D667" s="179">
        <v>12</v>
      </c>
      <c r="E667" s="101">
        <v>2.37</v>
      </c>
      <c r="F667"/>
      <c r="G667"/>
      <c r="H667"/>
      <c r="I667"/>
      <c r="J667"/>
      <c r="K667"/>
      <c r="L667"/>
      <c r="M667"/>
      <c r="N667"/>
    </row>
    <row r="668" spans="1:14" x14ac:dyDescent="0.3">
      <c r="A668" s="179">
        <v>14</v>
      </c>
      <c r="B668" s="104">
        <v>3.05</v>
      </c>
      <c r="C668"/>
      <c r="D668" s="179">
        <v>14</v>
      </c>
      <c r="E668" s="101">
        <v>2.67</v>
      </c>
      <c r="F668"/>
      <c r="G668"/>
      <c r="H668"/>
      <c r="I668"/>
      <c r="J668"/>
      <c r="K668"/>
      <c r="L668"/>
      <c r="M668"/>
      <c r="N668"/>
    </row>
    <row r="669" spans="1:14" x14ac:dyDescent="0.3">
      <c r="A669" s="179">
        <v>16</v>
      </c>
      <c r="B669" s="104">
        <v>3.5</v>
      </c>
      <c r="C669"/>
      <c r="D669" s="179">
        <v>16</v>
      </c>
      <c r="E669" s="101">
        <v>2.97</v>
      </c>
      <c r="F669"/>
      <c r="G669"/>
      <c r="H669"/>
      <c r="I669"/>
      <c r="J669"/>
      <c r="K669"/>
      <c r="L669"/>
      <c r="M669"/>
      <c r="N669"/>
    </row>
    <row r="670" spans="1:14" x14ac:dyDescent="0.3">
      <c r="A670" s="179">
        <v>18</v>
      </c>
      <c r="B670" s="104">
        <v>3.86</v>
      </c>
      <c r="C670"/>
      <c r="D670" s="179">
        <v>18</v>
      </c>
      <c r="E670" s="101">
        <v>3.28</v>
      </c>
      <c r="F670"/>
      <c r="G670"/>
      <c r="H670"/>
      <c r="I670"/>
      <c r="J670"/>
      <c r="K670"/>
      <c r="L670"/>
      <c r="M670"/>
      <c r="N670"/>
    </row>
    <row r="671" spans="1:14" x14ac:dyDescent="0.3">
      <c r="A671" s="179">
        <v>20</v>
      </c>
      <c r="B671" s="104">
        <v>4.21</v>
      </c>
      <c r="C671"/>
      <c r="D671" s="179">
        <v>20</v>
      </c>
      <c r="E671" s="101">
        <v>3.58</v>
      </c>
      <c r="F671"/>
      <c r="G671"/>
      <c r="H671"/>
      <c r="I671"/>
      <c r="J671"/>
      <c r="K671"/>
      <c r="L671"/>
      <c r="M671"/>
      <c r="N671"/>
    </row>
    <row r="672" spans="1:14" x14ac:dyDescent="0.3">
      <c r="A672" s="179">
        <v>24</v>
      </c>
      <c r="B672" s="104">
        <v>4.92</v>
      </c>
      <c r="C672"/>
      <c r="D672" s="179">
        <v>24</v>
      </c>
      <c r="E672" s="101">
        <v>4.1900000000000004</v>
      </c>
      <c r="F672"/>
      <c r="G672"/>
      <c r="H672"/>
      <c r="I672"/>
      <c r="J672"/>
      <c r="K672"/>
      <c r="L672"/>
      <c r="M672"/>
      <c r="N672"/>
    </row>
    <row r="673" spans="1:14" x14ac:dyDescent="0.3">
      <c r="A673" s="179">
        <v>26</v>
      </c>
      <c r="B673" s="101"/>
      <c r="C673"/>
      <c r="D673" s="179">
        <v>26</v>
      </c>
      <c r="E673" s="100"/>
      <c r="F673"/>
      <c r="G673"/>
      <c r="H673"/>
      <c r="I673"/>
      <c r="J673"/>
      <c r="K673"/>
      <c r="L673"/>
      <c r="M673"/>
      <c r="N673"/>
    </row>
    <row r="674" spans="1:14" x14ac:dyDescent="0.3">
      <c r="A674" s="179">
        <v>28</v>
      </c>
      <c r="B674" s="101"/>
      <c r="C674"/>
      <c r="D674" s="179">
        <v>28</v>
      </c>
      <c r="E674" s="100"/>
      <c r="F674"/>
      <c r="G674"/>
      <c r="H674"/>
      <c r="I674"/>
      <c r="J674"/>
      <c r="K674"/>
      <c r="L674"/>
      <c r="M674"/>
      <c r="N674"/>
    </row>
    <row r="675" spans="1:14" x14ac:dyDescent="0.3">
      <c r="A675" s="179">
        <v>30</v>
      </c>
      <c r="B675" s="101"/>
      <c r="C675"/>
      <c r="D675" s="179">
        <v>30</v>
      </c>
      <c r="E675" s="100"/>
      <c r="F675"/>
      <c r="G675"/>
      <c r="H675"/>
      <c r="I675"/>
      <c r="J675"/>
      <c r="K675"/>
      <c r="L675"/>
      <c r="M675"/>
      <c r="N675"/>
    </row>
    <row r="676" spans="1:14" x14ac:dyDescent="0.3">
      <c r="A676" s="179">
        <v>32</v>
      </c>
      <c r="B676" s="101"/>
      <c r="C676"/>
      <c r="D676" s="179">
        <v>32</v>
      </c>
      <c r="E676" s="183"/>
      <c r="F676"/>
      <c r="G676"/>
      <c r="H676"/>
      <c r="I676"/>
      <c r="J676"/>
      <c r="K676"/>
      <c r="L676"/>
      <c r="M676"/>
      <c r="N676"/>
    </row>
    <row r="677" spans="1:14" x14ac:dyDescent="0.3">
      <c r="A677" s="179">
        <v>36</v>
      </c>
      <c r="B677" s="101"/>
      <c r="C677"/>
      <c r="D677" s="179">
        <v>36</v>
      </c>
      <c r="E677" s="101"/>
      <c r="F677"/>
      <c r="G677"/>
      <c r="H677"/>
      <c r="I677"/>
      <c r="J677"/>
      <c r="K677"/>
      <c r="L677"/>
      <c r="M677"/>
      <c r="N677"/>
    </row>
    <row r="678" spans="1:14" x14ac:dyDescent="0.3">
      <c r="A678" s="179">
        <v>42</v>
      </c>
      <c r="B678" s="101"/>
      <c r="C678"/>
      <c r="D678" s="179">
        <v>42</v>
      </c>
      <c r="E678" s="101"/>
      <c r="F678"/>
      <c r="G678"/>
      <c r="H678"/>
      <c r="I678"/>
      <c r="J678"/>
      <c r="K678"/>
      <c r="L678"/>
      <c r="M678"/>
      <c r="N678"/>
    </row>
    <row r="679" spans="1:14" x14ac:dyDescent="0.3">
      <c r="A679" s="179">
        <v>48</v>
      </c>
      <c r="B679" s="101"/>
      <c r="C679"/>
      <c r="D679" s="179">
        <v>48</v>
      </c>
      <c r="E679" s="101"/>
      <c r="F679"/>
      <c r="G679"/>
      <c r="H679"/>
      <c r="I679"/>
      <c r="J679"/>
      <c r="K679"/>
      <c r="L679"/>
      <c r="M679"/>
      <c r="N679"/>
    </row>
    <row r="680" spans="1:14" x14ac:dyDescent="0.3">
      <c r="A680" s="83"/>
      <c r="B680" s="84"/>
      <c r="C680"/>
      <c r="F680" s="105"/>
      <c r="G680"/>
      <c r="H680"/>
      <c r="I680"/>
      <c r="J680"/>
      <c r="K680"/>
      <c r="L680"/>
      <c r="M680"/>
      <c r="N680"/>
    </row>
    <row r="681" spans="1:14" ht="36" x14ac:dyDescent="0.3">
      <c r="A681" s="86" t="s">
        <v>793</v>
      </c>
      <c r="B681" s="104" t="s">
        <v>707</v>
      </c>
      <c r="C681"/>
      <c r="D681" s="86"/>
      <c r="E681" s="101" t="s">
        <v>794</v>
      </c>
      <c r="F681" s="107"/>
      <c r="G681"/>
      <c r="H681"/>
      <c r="I681"/>
      <c r="J681"/>
      <c r="K681"/>
      <c r="L681"/>
      <c r="M681"/>
      <c r="N681"/>
    </row>
    <row r="682" spans="1:14" x14ac:dyDescent="0.3">
      <c r="A682" s="179" t="s">
        <v>718</v>
      </c>
      <c r="B682" s="104">
        <v>0.17</v>
      </c>
      <c r="C682"/>
      <c r="D682" s="179" t="s">
        <v>718</v>
      </c>
      <c r="E682" s="101" t="s">
        <v>779</v>
      </c>
      <c r="F682" s="107"/>
      <c r="G682"/>
      <c r="H682"/>
      <c r="I682"/>
      <c r="J682"/>
      <c r="K682"/>
      <c r="L682"/>
      <c r="M682"/>
      <c r="N682"/>
    </row>
    <row r="683" spans="1:14" x14ac:dyDescent="0.3">
      <c r="A683" s="179" t="s">
        <v>719</v>
      </c>
      <c r="B683" s="104">
        <v>0.19</v>
      </c>
      <c r="C683"/>
      <c r="D683" s="179" t="s">
        <v>719</v>
      </c>
      <c r="E683" s="101">
        <v>0.14000000000000001</v>
      </c>
      <c r="F683" s="107"/>
      <c r="G683"/>
      <c r="H683"/>
      <c r="I683"/>
      <c r="J683"/>
      <c r="K683"/>
      <c r="L683"/>
      <c r="M683"/>
      <c r="N683"/>
    </row>
    <row r="684" spans="1:14" x14ac:dyDescent="0.3">
      <c r="A684" s="179">
        <v>1</v>
      </c>
      <c r="B684" s="104">
        <v>0.23</v>
      </c>
      <c r="C684"/>
      <c r="D684" s="179">
        <v>1</v>
      </c>
      <c r="E684" s="101">
        <v>0.16</v>
      </c>
      <c r="F684" s="107"/>
      <c r="G684"/>
      <c r="H684"/>
      <c r="I684"/>
      <c r="J684"/>
      <c r="K684"/>
      <c r="L684"/>
      <c r="M684"/>
      <c r="N684"/>
    </row>
    <row r="685" spans="1:14" x14ac:dyDescent="0.3">
      <c r="A685" s="179" t="s">
        <v>720</v>
      </c>
      <c r="B685" s="104">
        <v>0.26</v>
      </c>
      <c r="C685"/>
      <c r="D685" s="179" t="s">
        <v>720</v>
      </c>
      <c r="E685" s="101">
        <v>0.2</v>
      </c>
      <c r="F685" s="107"/>
      <c r="G685"/>
      <c r="H685"/>
      <c r="I685"/>
      <c r="J685"/>
      <c r="K685"/>
      <c r="L685"/>
      <c r="M685"/>
      <c r="N685"/>
    </row>
    <row r="686" spans="1:14" x14ac:dyDescent="0.3">
      <c r="A686" s="179">
        <v>2</v>
      </c>
      <c r="B686" s="104">
        <v>0.52</v>
      </c>
      <c r="C686"/>
      <c r="D686" s="179">
        <v>2</v>
      </c>
      <c r="E686" s="101">
        <v>0.22</v>
      </c>
      <c r="F686" s="107"/>
      <c r="G686"/>
      <c r="H686"/>
      <c r="I686"/>
      <c r="J686"/>
      <c r="K686"/>
      <c r="L686"/>
      <c r="M686"/>
      <c r="N686"/>
    </row>
    <row r="687" spans="1:14" x14ac:dyDescent="0.3">
      <c r="A687" s="179" t="s">
        <v>721</v>
      </c>
      <c r="B687" s="104">
        <v>0.57999999999999996</v>
      </c>
      <c r="C687"/>
      <c r="D687" s="179" t="s">
        <v>721</v>
      </c>
      <c r="E687" s="101">
        <v>0.44</v>
      </c>
      <c r="F687" s="107"/>
      <c r="G687"/>
      <c r="H687"/>
      <c r="I687"/>
      <c r="J687"/>
      <c r="K687"/>
      <c r="L687"/>
      <c r="M687"/>
      <c r="N687"/>
    </row>
    <row r="688" spans="1:14" x14ac:dyDescent="0.3">
      <c r="A688" s="179">
        <v>3</v>
      </c>
      <c r="B688" s="104">
        <v>0.65</v>
      </c>
      <c r="C688"/>
      <c r="D688" s="179">
        <v>3</v>
      </c>
      <c r="E688" s="101">
        <v>0.5</v>
      </c>
      <c r="F688" s="107"/>
      <c r="G688"/>
      <c r="H688"/>
      <c r="I688"/>
      <c r="J688"/>
      <c r="K688"/>
      <c r="L688"/>
      <c r="M688"/>
      <c r="N688"/>
    </row>
    <row r="689" spans="1:14" x14ac:dyDescent="0.3">
      <c r="A689" s="179">
        <v>4</v>
      </c>
      <c r="B689" s="104">
        <v>0.78</v>
      </c>
      <c r="C689"/>
      <c r="D689" s="179">
        <v>4</v>
      </c>
      <c r="E689" s="101">
        <v>0.55000000000000004</v>
      </c>
      <c r="F689" s="107"/>
      <c r="G689"/>
      <c r="H689"/>
      <c r="I689"/>
      <c r="J689"/>
      <c r="K689"/>
      <c r="L689"/>
      <c r="M689"/>
      <c r="N689"/>
    </row>
    <row r="690" spans="1:14" x14ac:dyDescent="0.3">
      <c r="A690" s="179">
        <v>6</v>
      </c>
      <c r="B690" s="104">
        <v>1.43</v>
      </c>
      <c r="C690"/>
      <c r="D690" s="179">
        <v>6</v>
      </c>
      <c r="E690" s="101">
        <v>0.66</v>
      </c>
      <c r="F690" s="106"/>
      <c r="G690"/>
      <c r="H690"/>
      <c r="I690"/>
      <c r="J690"/>
      <c r="K690"/>
      <c r="L690"/>
      <c r="M690"/>
      <c r="N690"/>
    </row>
    <row r="691" spans="1:14" x14ac:dyDescent="0.3">
      <c r="A691" s="179">
        <v>8</v>
      </c>
      <c r="B691" s="104">
        <v>1.87</v>
      </c>
      <c r="C691"/>
      <c r="D691" s="179">
        <v>8</v>
      </c>
      <c r="E691" s="101">
        <v>1.21</v>
      </c>
      <c r="F691" s="106"/>
      <c r="G691"/>
      <c r="H691"/>
      <c r="I691"/>
      <c r="J691"/>
      <c r="K691"/>
      <c r="L691"/>
      <c r="M691"/>
      <c r="N691"/>
    </row>
    <row r="692" spans="1:14" x14ac:dyDescent="0.3">
      <c r="A692" s="179">
        <v>10</v>
      </c>
      <c r="B692" s="104">
        <v>2.31</v>
      </c>
      <c r="C692"/>
      <c r="D692" s="179">
        <v>10</v>
      </c>
      <c r="E692" s="101">
        <v>1.49</v>
      </c>
      <c r="F692" s="106"/>
      <c r="G692"/>
      <c r="H692" s="107"/>
      <c r="I692"/>
      <c r="J692"/>
      <c r="K692"/>
      <c r="L692"/>
      <c r="M692"/>
      <c r="N692"/>
    </row>
    <row r="693" spans="1:14" x14ac:dyDescent="0.3">
      <c r="A693" s="179">
        <v>12</v>
      </c>
      <c r="B693" s="104">
        <v>2.75</v>
      </c>
      <c r="C693"/>
      <c r="D693" s="179">
        <v>12</v>
      </c>
      <c r="E693" s="101">
        <v>1.76</v>
      </c>
      <c r="F693" s="106"/>
      <c r="G693"/>
      <c r="H693" s="107"/>
      <c r="I693"/>
      <c r="J693"/>
      <c r="K693"/>
      <c r="L693"/>
      <c r="M693"/>
      <c r="N693"/>
    </row>
    <row r="694" spans="1:14" x14ac:dyDescent="0.3">
      <c r="A694" s="179">
        <v>14</v>
      </c>
      <c r="B694" s="104">
        <v>3.19</v>
      </c>
      <c r="C694"/>
      <c r="D694" s="179">
        <v>14</v>
      </c>
      <c r="E694" s="101">
        <v>2.31</v>
      </c>
      <c r="F694" s="106"/>
      <c r="G694"/>
      <c r="H694" s="107"/>
      <c r="I694"/>
      <c r="J694"/>
      <c r="K694"/>
      <c r="L694"/>
      <c r="M694"/>
      <c r="N694"/>
    </row>
    <row r="695" spans="1:14" x14ac:dyDescent="0.3">
      <c r="A695" s="179">
        <v>16</v>
      </c>
      <c r="B695" s="104">
        <v>3.63</v>
      </c>
      <c r="C695"/>
      <c r="D695" s="179">
        <v>16</v>
      </c>
      <c r="E695" s="101">
        <v>2.7</v>
      </c>
      <c r="F695" s="106"/>
      <c r="G695"/>
      <c r="H695" s="107"/>
      <c r="I695"/>
      <c r="J695"/>
      <c r="K695"/>
      <c r="L695"/>
      <c r="M695"/>
      <c r="N695"/>
    </row>
    <row r="696" spans="1:14" x14ac:dyDescent="0.3">
      <c r="A696" s="179">
        <v>18</v>
      </c>
      <c r="B696" s="104">
        <v>4.08</v>
      </c>
      <c r="C696"/>
      <c r="D696" s="179">
        <v>18</v>
      </c>
      <c r="E696" s="101">
        <v>3.09</v>
      </c>
      <c r="F696" s="106"/>
      <c r="G696"/>
      <c r="H696" s="107"/>
      <c r="I696"/>
      <c r="J696"/>
      <c r="K696"/>
      <c r="L696"/>
      <c r="M696"/>
      <c r="N696"/>
    </row>
    <row r="697" spans="1:14" x14ac:dyDescent="0.3">
      <c r="A697" s="179">
        <v>20</v>
      </c>
      <c r="B697" s="104">
        <v>4.54</v>
      </c>
      <c r="C697"/>
      <c r="D697" s="179">
        <v>20</v>
      </c>
      <c r="E697" s="101">
        <v>3.47</v>
      </c>
      <c r="F697" s="106"/>
      <c r="G697"/>
      <c r="H697" s="107"/>
      <c r="I697"/>
      <c r="J697"/>
      <c r="K697"/>
      <c r="L697"/>
      <c r="M697"/>
      <c r="N697"/>
    </row>
    <row r="698" spans="1:14" x14ac:dyDescent="0.3">
      <c r="A698" s="179">
        <v>24</v>
      </c>
      <c r="B698" s="104">
        <v>5.18</v>
      </c>
      <c r="C698"/>
      <c r="D698" s="179">
        <v>24</v>
      </c>
      <c r="E698" s="101">
        <v>3.86</v>
      </c>
      <c r="F698" s="106"/>
      <c r="G698"/>
      <c r="H698" s="107"/>
      <c r="I698"/>
      <c r="J698"/>
      <c r="K698"/>
      <c r="L698"/>
      <c r="M698"/>
      <c r="N698"/>
    </row>
    <row r="699" spans="1:14" x14ac:dyDescent="0.3">
      <c r="A699" s="179">
        <v>26</v>
      </c>
      <c r="B699" s="101"/>
      <c r="C699"/>
      <c r="D699" s="179">
        <v>26</v>
      </c>
      <c r="E699" s="100">
        <v>4.41</v>
      </c>
      <c r="F699"/>
      <c r="G699"/>
      <c r="H699" s="107"/>
      <c r="I699"/>
      <c r="J699"/>
      <c r="K699"/>
      <c r="L699"/>
      <c r="M699"/>
      <c r="N699"/>
    </row>
    <row r="700" spans="1:14" x14ac:dyDescent="0.3">
      <c r="A700" s="179">
        <v>28</v>
      </c>
      <c r="B700" s="101"/>
      <c r="C700"/>
      <c r="D700" s="179">
        <v>28</v>
      </c>
      <c r="E700" s="100"/>
      <c r="F700"/>
      <c r="G700"/>
      <c r="H700" s="107"/>
      <c r="I700"/>
      <c r="J700"/>
      <c r="K700"/>
      <c r="L700"/>
      <c r="M700"/>
      <c r="N700"/>
    </row>
    <row r="701" spans="1:14" x14ac:dyDescent="0.3">
      <c r="A701" s="179">
        <v>30</v>
      </c>
      <c r="B701" s="101"/>
      <c r="C701"/>
      <c r="D701" s="179">
        <v>30</v>
      </c>
      <c r="E701" s="100"/>
      <c r="F701"/>
      <c r="G701"/>
      <c r="H701" s="107"/>
      <c r="I701"/>
      <c r="J701"/>
      <c r="K701"/>
      <c r="L701"/>
      <c r="M701"/>
      <c r="N701"/>
    </row>
    <row r="702" spans="1:14" x14ac:dyDescent="0.3">
      <c r="A702" s="179">
        <v>32</v>
      </c>
      <c r="B702" s="101"/>
      <c r="C702"/>
      <c r="D702" s="179">
        <v>32</v>
      </c>
      <c r="E702" s="183"/>
      <c r="F702"/>
      <c r="G702"/>
      <c r="H702" s="107"/>
      <c r="I702"/>
      <c r="J702"/>
      <c r="K702"/>
      <c r="L702"/>
      <c r="M702"/>
      <c r="N702"/>
    </row>
    <row r="703" spans="1:14" x14ac:dyDescent="0.3">
      <c r="A703" s="179">
        <v>36</v>
      </c>
      <c r="B703" s="101"/>
      <c r="C703"/>
      <c r="D703" s="179">
        <v>36</v>
      </c>
      <c r="E703" s="101"/>
      <c r="F703"/>
      <c r="G703"/>
      <c r="H703" s="107"/>
      <c r="I703"/>
      <c r="J703"/>
      <c r="K703"/>
      <c r="L703"/>
      <c r="M703"/>
      <c r="N703"/>
    </row>
    <row r="704" spans="1:14" x14ac:dyDescent="0.3">
      <c r="A704" s="179">
        <v>42</v>
      </c>
      <c r="B704" s="101"/>
      <c r="C704"/>
      <c r="D704" s="179">
        <v>42</v>
      </c>
      <c r="E704" s="101"/>
      <c r="F704"/>
      <c r="G704"/>
      <c r="H704" s="107"/>
      <c r="I704"/>
      <c r="J704"/>
      <c r="K704"/>
      <c r="L704"/>
      <c r="M704"/>
      <c r="N704"/>
    </row>
    <row r="705" spans="1:14" x14ac:dyDescent="0.3">
      <c r="A705" s="179">
        <v>48</v>
      </c>
      <c r="B705" s="101"/>
      <c r="C705"/>
      <c r="D705" s="179">
        <v>48</v>
      </c>
      <c r="E705" s="101"/>
      <c r="F705"/>
      <c r="G705"/>
      <c r="H705" s="107"/>
      <c r="I705"/>
      <c r="J705"/>
      <c r="K705"/>
      <c r="L705"/>
      <c r="M705"/>
      <c r="N705"/>
    </row>
    <row r="706" spans="1:14" x14ac:dyDescent="0.3">
      <c r="A706" s="83"/>
      <c r="B706" s="84"/>
      <c r="C706"/>
      <c r="D706"/>
      <c r="E706"/>
      <c r="F706"/>
      <c r="G706"/>
      <c r="H706" s="107"/>
      <c r="I706"/>
      <c r="K706"/>
      <c r="L706"/>
      <c r="M706"/>
      <c r="N706"/>
    </row>
    <row r="707" spans="1:14" x14ac:dyDescent="0.3">
      <c r="A707" s="86" t="s">
        <v>795</v>
      </c>
      <c r="B707" s="104" t="s">
        <v>707</v>
      </c>
      <c r="C707"/>
      <c r="D707"/>
      <c r="E707"/>
      <c r="F707"/>
      <c r="G707"/>
      <c r="H707" s="107"/>
      <c r="I707"/>
      <c r="K707"/>
      <c r="L707"/>
      <c r="M707"/>
      <c r="N707"/>
    </row>
    <row r="708" spans="1:14" x14ac:dyDescent="0.3">
      <c r="A708" s="179" t="s">
        <v>718</v>
      </c>
      <c r="B708" s="104">
        <v>0.17</v>
      </c>
      <c r="C708"/>
      <c r="D708"/>
      <c r="F708"/>
      <c r="G708"/>
      <c r="H708" s="107"/>
      <c r="I708"/>
      <c r="K708"/>
      <c r="L708"/>
      <c r="M708"/>
      <c r="N708"/>
    </row>
    <row r="709" spans="1:14" x14ac:dyDescent="0.3">
      <c r="A709" s="179" t="s">
        <v>719</v>
      </c>
      <c r="B709" s="104">
        <v>0.2</v>
      </c>
      <c r="C709"/>
      <c r="D709"/>
      <c r="F709"/>
      <c r="G709"/>
      <c r="H709" s="107"/>
      <c r="I709"/>
      <c r="K709"/>
      <c r="L709"/>
      <c r="M709"/>
      <c r="N709"/>
    </row>
    <row r="710" spans="1:14" x14ac:dyDescent="0.3">
      <c r="A710" s="179">
        <v>1</v>
      </c>
      <c r="B710" s="104">
        <v>0.24</v>
      </c>
      <c r="C710"/>
      <c r="D710"/>
      <c r="F710"/>
      <c r="G710"/>
      <c r="H710" s="107"/>
      <c r="I710"/>
      <c r="K710"/>
      <c r="L710"/>
      <c r="M710"/>
      <c r="N710"/>
    </row>
    <row r="711" spans="1:14" x14ac:dyDescent="0.3">
      <c r="A711" s="179" t="s">
        <v>720</v>
      </c>
      <c r="B711" s="104">
        <v>0.27</v>
      </c>
      <c r="C711"/>
      <c r="D711"/>
      <c r="F711"/>
      <c r="G711"/>
      <c r="H711" s="107"/>
      <c r="I711"/>
      <c r="K711"/>
      <c r="L711"/>
      <c r="M711"/>
      <c r="N711"/>
    </row>
    <row r="712" spans="1:14" x14ac:dyDescent="0.3">
      <c r="A712" s="179">
        <v>2</v>
      </c>
      <c r="B712" s="104">
        <v>0.54</v>
      </c>
      <c r="C712"/>
      <c r="D712"/>
      <c r="F712"/>
      <c r="G712"/>
      <c r="H712" s="107"/>
      <c r="I712"/>
      <c r="K712"/>
      <c r="L712"/>
      <c r="M712"/>
      <c r="N712"/>
    </row>
    <row r="713" spans="1:14" x14ac:dyDescent="0.3">
      <c r="A713" s="179" t="s">
        <v>721</v>
      </c>
      <c r="B713" s="104">
        <v>0.61</v>
      </c>
      <c r="C713"/>
      <c r="D713"/>
      <c r="F713"/>
      <c r="G713"/>
      <c r="H713" s="107"/>
      <c r="I713"/>
      <c r="K713"/>
      <c r="L713"/>
      <c r="M713"/>
      <c r="N713"/>
    </row>
    <row r="714" spans="1:14" x14ac:dyDescent="0.3">
      <c r="A714" s="179">
        <v>3</v>
      </c>
      <c r="B714" s="104">
        <v>0.68</v>
      </c>
      <c r="C714"/>
      <c r="D714"/>
      <c r="F714"/>
      <c r="G714"/>
      <c r="H714" s="107"/>
      <c r="I714"/>
      <c r="K714"/>
      <c r="L714"/>
      <c r="M714"/>
      <c r="N714"/>
    </row>
    <row r="715" spans="1:14" x14ac:dyDescent="0.3">
      <c r="A715" s="179">
        <v>4</v>
      </c>
      <c r="B715" s="104">
        <v>0.85</v>
      </c>
      <c r="C715"/>
      <c r="D715"/>
      <c r="F715"/>
      <c r="G715"/>
      <c r="H715" s="107"/>
      <c r="I715"/>
      <c r="K715"/>
      <c r="L715"/>
      <c r="M715"/>
      <c r="N715"/>
    </row>
    <row r="716" spans="1:14" x14ac:dyDescent="0.3">
      <c r="A716" s="179">
        <v>6</v>
      </c>
      <c r="B716" s="104">
        <v>1.66</v>
      </c>
      <c r="C716"/>
      <c r="D716"/>
      <c r="F716"/>
      <c r="G716"/>
      <c r="I716"/>
      <c r="K716"/>
      <c r="L716"/>
      <c r="M716"/>
      <c r="N716"/>
    </row>
    <row r="717" spans="1:14" x14ac:dyDescent="0.3">
      <c r="A717" s="179">
        <v>8</v>
      </c>
      <c r="B717" s="104">
        <v>2.08</v>
      </c>
      <c r="C717"/>
      <c r="D717"/>
      <c r="F717"/>
      <c r="G717"/>
      <c r="I717"/>
      <c r="K717"/>
      <c r="L717"/>
      <c r="M717"/>
      <c r="N717"/>
    </row>
    <row r="718" spans="1:14" x14ac:dyDescent="0.3">
      <c r="A718" s="179">
        <v>10</v>
      </c>
      <c r="B718" s="104">
        <v>2.5</v>
      </c>
      <c r="C718"/>
      <c r="D718"/>
      <c r="F718"/>
      <c r="G718"/>
      <c r="I718"/>
      <c r="K718"/>
      <c r="L718"/>
      <c r="M718"/>
      <c r="N718"/>
    </row>
    <row r="719" spans="1:14" x14ac:dyDescent="0.3">
      <c r="A719" s="179">
        <v>12</v>
      </c>
      <c r="B719" s="104">
        <v>2.92</v>
      </c>
      <c r="C719"/>
      <c r="D719"/>
      <c r="F719"/>
      <c r="G719"/>
      <c r="I719"/>
      <c r="K719"/>
      <c r="L719"/>
      <c r="M719"/>
      <c r="N719"/>
    </row>
    <row r="720" spans="1:14" x14ac:dyDescent="0.3">
      <c r="A720" s="179">
        <v>14</v>
      </c>
      <c r="B720" s="101"/>
      <c r="C720"/>
      <c r="D720"/>
      <c r="F720"/>
      <c r="G720"/>
      <c r="I720"/>
      <c r="K720"/>
      <c r="L720"/>
      <c r="M720"/>
      <c r="N720"/>
    </row>
    <row r="721" spans="1:14" x14ac:dyDescent="0.3">
      <c r="A721" s="179">
        <v>16</v>
      </c>
      <c r="B721" s="101"/>
      <c r="C721"/>
      <c r="D721"/>
      <c r="F721"/>
      <c r="G721"/>
      <c r="I721"/>
      <c r="K721"/>
      <c r="L721"/>
      <c r="M721"/>
      <c r="N721"/>
    </row>
    <row r="722" spans="1:14" x14ac:dyDescent="0.3">
      <c r="A722" s="179">
        <v>18</v>
      </c>
      <c r="B722" s="101"/>
      <c r="C722"/>
      <c r="D722"/>
      <c r="F722"/>
      <c r="G722"/>
      <c r="I722"/>
      <c r="K722"/>
      <c r="L722"/>
      <c r="M722"/>
      <c r="N722"/>
    </row>
    <row r="723" spans="1:14" x14ac:dyDescent="0.3">
      <c r="A723" s="179">
        <v>20</v>
      </c>
      <c r="B723" s="101"/>
      <c r="C723"/>
      <c r="D723"/>
      <c r="F723"/>
      <c r="G723"/>
      <c r="I723"/>
      <c r="K723"/>
      <c r="L723"/>
      <c r="M723"/>
      <c r="N723"/>
    </row>
    <row r="724" spans="1:14" x14ac:dyDescent="0.3">
      <c r="A724" s="179">
        <v>24</v>
      </c>
      <c r="B724" s="101"/>
      <c r="C724"/>
      <c r="D724"/>
      <c r="F724"/>
      <c r="G724"/>
      <c r="I724"/>
      <c r="K724"/>
      <c r="L724"/>
      <c r="M724"/>
      <c r="N724"/>
    </row>
    <row r="725" spans="1:14" x14ac:dyDescent="0.3">
      <c r="A725" s="179">
        <v>26</v>
      </c>
      <c r="B725" s="101"/>
      <c r="C725"/>
      <c r="D725"/>
      <c r="F725"/>
      <c r="G725"/>
      <c r="I725"/>
      <c r="K725"/>
      <c r="L725"/>
      <c r="M725"/>
      <c r="N725"/>
    </row>
    <row r="726" spans="1:14" x14ac:dyDescent="0.3">
      <c r="A726" s="179">
        <v>28</v>
      </c>
      <c r="B726" s="101"/>
      <c r="C726"/>
      <c r="D726"/>
      <c r="F726"/>
      <c r="G726"/>
      <c r="I726"/>
      <c r="K726"/>
      <c r="L726"/>
      <c r="M726"/>
      <c r="N726"/>
    </row>
    <row r="727" spans="1:14" x14ac:dyDescent="0.3">
      <c r="A727" s="179">
        <v>30</v>
      </c>
      <c r="B727" s="101"/>
      <c r="C727"/>
      <c r="D727"/>
      <c r="F727"/>
      <c r="G727"/>
      <c r="I727"/>
      <c r="K727"/>
      <c r="L727"/>
      <c r="M727"/>
      <c r="N727"/>
    </row>
    <row r="728" spans="1:14" x14ac:dyDescent="0.3">
      <c r="A728" s="179">
        <v>32</v>
      </c>
      <c r="B728" s="101"/>
      <c r="C728"/>
      <c r="D728"/>
      <c r="F728"/>
      <c r="G728"/>
      <c r="I728"/>
      <c r="K728"/>
      <c r="L728"/>
      <c r="M728"/>
      <c r="N728"/>
    </row>
    <row r="729" spans="1:14" ht="15" customHeight="1" x14ac:dyDescent="0.3">
      <c r="A729" s="179">
        <v>36</v>
      </c>
      <c r="B729" s="101"/>
      <c r="C729"/>
      <c r="D729"/>
      <c r="F729"/>
      <c r="G729"/>
      <c r="I729"/>
      <c r="K729"/>
      <c r="L729"/>
      <c r="M729"/>
      <c r="N729"/>
    </row>
    <row r="730" spans="1:14" x14ac:dyDescent="0.3">
      <c r="A730" s="179">
        <v>42</v>
      </c>
      <c r="B730" s="101"/>
      <c r="C730"/>
      <c r="D730"/>
      <c r="F730"/>
      <c r="G730"/>
      <c r="H730"/>
      <c r="I730"/>
      <c r="K730"/>
      <c r="L730"/>
      <c r="M730"/>
      <c r="N730"/>
    </row>
    <row r="731" spans="1:14" x14ac:dyDescent="0.3">
      <c r="A731" s="179">
        <v>48</v>
      </c>
      <c r="B731" s="101"/>
      <c r="C731"/>
      <c r="D731"/>
      <c r="F731"/>
      <c r="G731"/>
      <c r="H731"/>
      <c r="I731"/>
      <c r="J731"/>
      <c r="K731"/>
      <c r="L731"/>
      <c r="M731"/>
      <c r="N731"/>
    </row>
    <row r="732" spans="1:14" x14ac:dyDescent="0.3">
      <c r="A732" s="83"/>
      <c r="B732" s="84"/>
      <c r="C732"/>
      <c r="D732" s="83"/>
      <c r="E732" s="84"/>
      <c r="F732"/>
      <c r="G732"/>
      <c r="H732"/>
      <c r="I732"/>
      <c r="J732"/>
      <c r="K732"/>
      <c r="L732"/>
      <c r="M732"/>
      <c r="N732"/>
    </row>
    <row r="733" spans="1:14" x14ac:dyDescent="0.3">
      <c r="A733" s="86" t="s">
        <v>796</v>
      </c>
      <c r="B733" s="104" t="s">
        <v>131</v>
      </c>
      <c r="C733"/>
      <c r="D733" s="86" t="s">
        <v>797</v>
      </c>
      <c r="E733" s="104" t="s">
        <v>131</v>
      </c>
      <c r="F733"/>
      <c r="G733"/>
      <c r="H733"/>
      <c r="I733"/>
      <c r="J733"/>
      <c r="K733"/>
      <c r="L733"/>
      <c r="M733"/>
      <c r="N733"/>
    </row>
    <row r="734" spans="1:14" x14ac:dyDescent="0.3">
      <c r="A734" s="179" t="s">
        <v>718</v>
      </c>
      <c r="B734" s="104">
        <v>0.03</v>
      </c>
      <c r="C734"/>
      <c r="D734" s="179" t="s">
        <v>718</v>
      </c>
      <c r="E734" s="104">
        <v>0.03</v>
      </c>
      <c r="F734"/>
      <c r="G734"/>
      <c r="H734"/>
      <c r="I734"/>
      <c r="J734"/>
      <c r="K734"/>
      <c r="L734"/>
      <c r="M734"/>
      <c r="N734"/>
    </row>
    <row r="735" spans="1:14" x14ac:dyDescent="0.3">
      <c r="A735" s="179" t="s">
        <v>719</v>
      </c>
      <c r="B735" s="104">
        <v>0.03</v>
      </c>
      <c r="C735"/>
      <c r="D735" s="179" t="s">
        <v>719</v>
      </c>
      <c r="E735" s="104">
        <v>0.03</v>
      </c>
      <c r="F735"/>
      <c r="G735"/>
      <c r="H735"/>
      <c r="I735"/>
      <c r="J735"/>
      <c r="K735"/>
      <c r="L735"/>
      <c r="M735"/>
      <c r="N735"/>
    </row>
    <row r="736" spans="1:14" x14ac:dyDescent="0.3">
      <c r="A736" s="179">
        <v>1</v>
      </c>
      <c r="B736" s="104">
        <v>0.03</v>
      </c>
      <c r="C736"/>
      <c r="D736" s="179">
        <v>1</v>
      </c>
      <c r="E736" s="104">
        <v>0.03</v>
      </c>
      <c r="F736"/>
      <c r="G736"/>
      <c r="H736"/>
      <c r="I736"/>
      <c r="J736"/>
      <c r="K736"/>
      <c r="L736"/>
      <c r="M736"/>
      <c r="N736"/>
    </row>
    <row r="737" spans="1:14" x14ac:dyDescent="0.3">
      <c r="A737" s="179" t="s">
        <v>720</v>
      </c>
      <c r="B737" s="104">
        <v>0.03</v>
      </c>
      <c r="C737"/>
      <c r="D737" s="179" t="s">
        <v>720</v>
      </c>
      <c r="E737" s="104">
        <v>0.03</v>
      </c>
      <c r="F737"/>
      <c r="G737"/>
      <c r="H737"/>
      <c r="I737"/>
      <c r="J737"/>
      <c r="K737"/>
      <c r="L737"/>
      <c r="M737"/>
      <c r="N737"/>
    </row>
    <row r="738" spans="1:14" x14ac:dyDescent="0.3">
      <c r="A738" s="179">
        <v>2</v>
      </c>
      <c r="B738" s="104">
        <v>0.03</v>
      </c>
      <c r="C738"/>
      <c r="D738" s="179">
        <v>2</v>
      </c>
      <c r="E738" s="104">
        <v>0.03</v>
      </c>
      <c r="F738"/>
      <c r="G738"/>
      <c r="H738"/>
      <c r="I738"/>
      <c r="J738"/>
      <c r="K738"/>
      <c r="L738"/>
      <c r="M738"/>
      <c r="N738"/>
    </row>
    <row r="739" spans="1:14" x14ac:dyDescent="0.3">
      <c r="A739" s="179" t="s">
        <v>721</v>
      </c>
      <c r="B739" s="104">
        <v>0.03</v>
      </c>
      <c r="C739"/>
      <c r="D739" s="179" t="s">
        <v>721</v>
      </c>
      <c r="E739" s="104">
        <v>0.03</v>
      </c>
      <c r="F739"/>
      <c r="G739"/>
      <c r="H739"/>
      <c r="I739"/>
      <c r="J739"/>
      <c r="K739"/>
      <c r="L739"/>
      <c r="M739"/>
      <c r="N739"/>
    </row>
    <row r="740" spans="1:14" x14ac:dyDescent="0.3">
      <c r="A740" s="179">
        <v>3</v>
      </c>
      <c r="B740" s="104">
        <v>0.04</v>
      </c>
      <c r="C740"/>
      <c r="D740" s="179">
        <v>3</v>
      </c>
      <c r="E740" s="104">
        <v>0.03</v>
      </c>
      <c r="F740"/>
      <c r="G740"/>
      <c r="H740"/>
      <c r="I740"/>
      <c r="J740"/>
      <c r="K740"/>
      <c r="L740"/>
      <c r="M740"/>
      <c r="N740"/>
    </row>
    <row r="741" spans="1:14" x14ac:dyDescent="0.3">
      <c r="A741" s="179">
        <v>4</v>
      </c>
      <c r="B741" s="104">
        <v>0.04</v>
      </c>
      <c r="C741"/>
      <c r="D741" s="179">
        <v>4</v>
      </c>
      <c r="E741" s="104">
        <v>0.04</v>
      </c>
      <c r="F741"/>
      <c r="G741"/>
      <c r="H741"/>
      <c r="I741"/>
      <c r="J741"/>
      <c r="K741"/>
      <c r="L741"/>
      <c r="M741"/>
      <c r="N741"/>
    </row>
    <row r="742" spans="1:14" x14ac:dyDescent="0.3">
      <c r="A742" s="179">
        <v>6</v>
      </c>
      <c r="B742" s="104">
        <v>0.05</v>
      </c>
      <c r="C742"/>
      <c r="D742" s="179">
        <v>6</v>
      </c>
      <c r="E742" s="104">
        <v>0.05</v>
      </c>
      <c r="F742"/>
      <c r="G742"/>
      <c r="H742"/>
      <c r="I742"/>
      <c r="J742"/>
      <c r="K742"/>
      <c r="L742"/>
      <c r="M742"/>
      <c r="N742"/>
    </row>
    <row r="743" spans="1:14" x14ac:dyDescent="0.3">
      <c r="A743" s="179">
        <v>8</v>
      </c>
      <c r="B743" s="104">
        <v>0.06</v>
      </c>
      <c r="C743"/>
      <c r="D743" s="179">
        <v>8</v>
      </c>
      <c r="E743" s="104">
        <v>0.05</v>
      </c>
      <c r="F743"/>
      <c r="G743"/>
      <c r="H743"/>
      <c r="I743"/>
      <c r="J743"/>
      <c r="K743"/>
      <c r="L743"/>
      <c r="M743"/>
      <c r="N743"/>
    </row>
    <row r="744" spans="1:14" x14ac:dyDescent="0.3">
      <c r="A744" s="179">
        <v>10</v>
      </c>
      <c r="B744" s="104">
        <v>0.08</v>
      </c>
      <c r="C744"/>
      <c r="D744" s="179">
        <v>10</v>
      </c>
      <c r="E744" s="104">
        <v>0.06</v>
      </c>
      <c r="F744"/>
      <c r="G744"/>
      <c r="H744"/>
      <c r="I744"/>
      <c r="J744"/>
      <c r="K744"/>
      <c r="L744"/>
      <c r="M744"/>
      <c r="N744"/>
    </row>
    <row r="745" spans="1:14" x14ac:dyDescent="0.3">
      <c r="A745" s="179">
        <v>12</v>
      </c>
      <c r="B745" s="104">
        <v>0.1</v>
      </c>
      <c r="C745"/>
      <c r="D745" s="179">
        <v>12</v>
      </c>
      <c r="E745" s="104">
        <v>0.08</v>
      </c>
      <c r="F745"/>
      <c r="G745"/>
      <c r="H745"/>
      <c r="I745"/>
      <c r="J745"/>
      <c r="K745"/>
      <c r="L745"/>
      <c r="M745"/>
      <c r="N745"/>
    </row>
    <row r="746" spans="1:14" x14ac:dyDescent="0.3">
      <c r="A746" s="179">
        <v>14</v>
      </c>
      <c r="B746" s="101">
        <v>0.11</v>
      </c>
      <c r="C746"/>
      <c r="D746" s="179">
        <v>14</v>
      </c>
      <c r="E746" s="101">
        <v>0.1</v>
      </c>
      <c r="F746"/>
      <c r="G746"/>
      <c r="H746"/>
      <c r="I746"/>
      <c r="J746"/>
      <c r="K746"/>
      <c r="L746"/>
      <c r="M746"/>
      <c r="N746"/>
    </row>
    <row r="747" spans="1:14" x14ac:dyDescent="0.3">
      <c r="A747" s="179">
        <v>16</v>
      </c>
      <c r="B747" s="101">
        <v>0.14000000000000001</v>
      </c>
      <c r="C747"/>
      <c r="D747" s="179">
        <v>16</v>
      </c>
      <c r="E747" s="101">
        <v>0.12</v>
      </c>
      <c r="F747"/>
      <c r="G747"/>
      <c r="H747"/>
      <c r="I747"/>
      <c r="J747"/>
      <c r="K747"/>
      <c r="L747"/>
      <c r="M747"/>
      <c r="N747"/>
    </row>
    <row r="748" spans="1:14" x14ac:dyDescent="0.3">
      <c r="A748" s="179">
        <v>18</v>
      </c>
      <c r="B748" s="101">
        <v>0.18</v>
      </c>
      <c r="C748"/>
      <c r="D748" s="179">
        <v>18</v>
      </c>
      <c r="E748" s="101">
        <v>0.15</v>
      </c>
      <c r="F748"/>
      <c r="G748"/>
      <c r="H748"/>
      <c r="I748"/>
      <c r="J748"/>
      <c r="K748"/>
      <c r="L748"/>
      <c r="M748"/>
      <c r="N748"/>
    </row>
    <row r="749" spans="1:14" x14ac:dyDescent="0.3">
      <c r="A749" s="179">
        <v>20</v>
      </c>
      <c r="B749" s="101">
        <v>0.21</v>
      </c>
      <c r="C749"/>
      <c r="D749" s="179">
        <v>20</v>
      </c>
      <c r="E749" s="101">
        <v>0.18</v>
      </c>
      <c r="F749"/>
      <c r="G749"/>
      <c r="H749"/>
      <c r="I749"/>
      <c r="J749"/>
      <c r="K749"/>
      <c r="L749"/>
      <c r="M749"/>
      <c r="N749"/>
    </row>
    <row r="750" spans="1:14" x14ac:dyDescent="0.3">
      <c r="A750" s="179">
        <v>24</v>
      </c>
      <c r="B750" s="101">
        <v>0.32</v>
      </c>
      <c r="C750"/>
      <c r="D750" s="179">
        <v>24</v>
      </c>
      <c r="E750" s="101">
        <v>0.27</v>
      </c>
      <c r="F750"/>
      <c r="G750"/>
      <c r="H750"/>
      <c r="I750"/>
      <c r="J750"/>
      <c r="K750"/>
      <c r="L750"/>
      <c r="M750"/>
      <c r="N750"/>
    </row>
    <row r="751" spans="1:14" x14ac:dyDescent="0.3">
      <c r="A751" s="179">
        <v>26</v>
      </c>
      <c r="B751" s="101">
        <v>0.38</v>
      </c>
      <c r="C751"/>
      <c r="D751" s="179">
        <v>26</v>
      </c>
      <c r="E751" s="101">
        <v>0.32</v>
      </c>
      <c r="F751"/>
      <c r="G751"/>
      <c r="H751"/>
      <c r="I751"/>
      <c r="J751"/>
      <c r="K751"/>
      <c r="L751"/>
      <c r="M751"/>
      <c r="N751"/>
    </row>
    <row r="752" spans="1:14" x14ac:dyDescent="0.3">
      <c r="A752" s="179">
        <v>28</v>
      </c>
      <c r="B752" s="101">
        <v>0.44</v>
      </c>
      <c r="C752"/>
      <c r="D752" s="179">
        <v>28</v>
      </c>
      <c r="E752" s="101">
        <v>0.37</v>
      </c>
      <c r="F752"/>
      <c r="G752"/>
      <c r="H752"/>
      <c r="I752"/>
      <c r="J752"/>
      <c r="K752"/>
      <c r="L752"/>
      <c r="M752"/>
      <c r="N752"/>
    </row>
    <row r="753" spans="1:17" x14ac:dyDescent="0.3">
      <c r="A753" s="179">
        <v>30</v>
      </c>
      <c r="B753" s="101">
        <v>0.5</v>
      </c>
      <c r="C753"/>
      <c r="D753" s="179">
        <v>30</v>
      </c>
      <c r="E753" s="101">
        <v>0.43</v>
      </c>
      <c r="F753"/>
      <c r="G753"/>
      <c r="H753"/>
      <c r="I753"/>
      <c r="J753"/>
      <c r="K753"/>
      <c r="L753"/>
      <c r="M753"/>
      <c r="N753"/>
    </row>
    <row r="754" spans="1:17" x14ac:dyDescent="0.3">
      <c r="A754" s="179">
        <v>32</v>
      </c>
      <c r="B754" s="101">
        <v>0.56999999999999995</v>
      </c>
      <c r="C754"/>
      <c r="D754" s="179">
        <v>32</v>
      </c>
      <c r="E754" s="101">
        <v>0.49</v>
      </c>
      <c r="F754"/>
      <c r="G754"/>
      <c r="H754"/>
      <c r="I754"/>
      <c r="J754"/>
      <c r="K754"/>
      <c r="L754"/>
      <c r="M754"/>
      <c r="N754"/>
    </row>
    <row r="755" spans="1:17" x14ac:dyDescent="0.3">
      <c r="A755" s="179">
        <v>36</v>
      </c>
      <c r="B755" s="101">
        <v>0.73</v>
      </c>
      <c r="C755"/>
      <c r="D755" s="179">
        <v>36</v>
      </c>
      <c r="E755" s="101">
        <v>0.62</v>
      </c>
      <c r="F755"/>
      <c r="G755"/>
      <c r="H755"/>
      <c r="I755"/>
      <c r="J755"/>
      <c r="K755"/>
      <c r="L755"/>
      <c r="M755"/>
      <c r="N755"/>
    </row>
    <row r="756" spans="1:17" x14ac:dyDescent="0.3">
      <c r="A756" s="179">
        <v>42</v>
      </c>
      <c r="B756" s="101">
        <v>0.99</v>
      </c>
      <c r="D756" s="179">
        <v>42</v>
      </c>
      <c r="E756" s="101">
        <v>0.84</v>
      </c>
    </row>
    <row r="757" spans="1:17" x14ac:dyDescent="0.3">
      <c r="A757" s="179">
        <v>48</v>
      </c>
      <c r="B757" s="101">
        <v>1.29</v>
      </c>
      <c r="D757" s="179">
        <v>48</v>
      </c>
      <c r="E757" s="101">
        <v>1.1000000000000001</v>
      </c>
    </row>
    <row r="759" spans="1:17" ht="26.25" customHeight="1" x14ac:dyDescent="0.3">
      <c r="A759" s="315" t="s">
        <v>798</v>
      </c>
      <c r="B759" s="315"/>
      <c r="C759" s="315"/>
      <c r="D759" s="315"/>
      <c r="E759" s="315"/>
      <c r="F759" s="315"/>
      <c r="G759" s="315"/>
      <c r="H759" s="315"/>
      <c r="I759" s="315"/>
      <c r="J759" s="315"/>
      <c r="K759" s="315"/>
      <c r="L759" s="315"/>
      <c r="M759" s="315"/>
      <c r="N759" s="315"/>
      <c r="O759" s="315"/>
      <c r="P759" s="315"/>
      <c r="Q759" s="315"/>
    </row>
    <row r="760" spans="1:17" ht="15" customHeight="1" thickBot="1" x14ac:dyDescent="0.35">
      <c r="A760"/>
      <c r="B760" s="108">
        <v>0</v>
      </c>
      <c r="C760" s="109">
        <v>2</v>
      </c>
      <c r="D760" s="110">
        <v>6</v>
      </c>
      <c r="E760" s="110">
        <v>10</v>
      </c>
      <c r="F760" s="110">
        <v>14</v>
      </c>
      <c r="G760" s="110">
        <v>20</v>
      </c>
      <c r="H760" s="111">
        <v>24</v>
      </c>
      <c r="I760" s="111">
        <v>26</v>
      </c>
      <c r="J760" s="111">
        <v>28</v>
      </c>
      <c r="K760" s="111">
        <v>30</v>
      </c>
      <c r="L760" s="111">
        <v>32</v>
      </c>
      <c r="M760" s="111">
        <v>36</v>
      </c>
      <c r="N760" s="111">
        <v>42</v>
      </c>
      <c r="O760" s="111">
        <v>48</v>
      </c>
      <c r="P760" s="111">
        <v>56</v>
      </c>
      <c r="Q760" s="112">
        <v>60</v>
      </c>
    </row>
    <row r="761" spans="1:17" x14ac:dyDescent="0.3">
      <c r="A761" s="308" t="s">
        <v>799</v>
      </c>
      <c r="B761" s="113" t="s">
        <v>800</v>
      </c>
      <c r="C761" s="114">
        <v>0.20699999999999999</v>
      </c>
      <c r="D761" s="114">
        <v>0.253</v>
      </c>
      <c r="E761" s="114">
        <v>0.318</v>
      </c>
      <c r="F761" s="114">
        <v>0.40699999999999997</v>
      </c>
      <c r="G761" s="114">
        <v>0.48599999999999999</v>
      </c>
      <c r="H761" s="115">
        <v>0.58099999999999996</v>
      </c>
      <c r="I761" s="115">
        <v>0.63</v>
      </c>
      <c r="J761" s="115">
        <v>0.67900000000000005</v>
      </c>
      <c r="K761" s="115">
        <v>0.72499999999999998</v>
      </c>
      <c r="L761" s="115">
        <v>0.77400000000000002</v>
      </c>
      <c r="M761" s="115">
        <v>0.873</v>
      </c>
      <c r="N761" s="115">
        <v>1.0169999999999999</v>
      </c>
      <c r="O761" s="115">
        <v>1.165</v>
      </c>
      <c r="P761" s="115">
        <v>1.3089999999999999</v>
      </c>
      <c r="Q761" s="116">
        <v>1.4530000000000001</v>
      </c>
    </row>
    <row r="762" spans="1:17" x14ac:dyDescent="0.3">
      <c r="A762" s="309"/>
      <c r="B762" s="117" t="s">
        <v>801</v>
      </c>
      <c r="C762" s="118">
        <v>0.14499999999999999</v>
      </c>
      <c r="D762" s="118">
        <v>0.17599999999999999</v>
      </c>
      <c r="E762" s="118">
        <v>0.221</v>
      </c>
      <c r="F762" s="118">
        <v>0.28499999999999998</v>
      </c>
      <c r="G762" s="118">
        <v>0.33900000000000002</v>
      </c>
      <c r="H762" s="119">
        <v>0.40699999999999997</v>
      </c>
      <c r="I762" s="119">
        <v>0.441</v>
      </c>
      <c r="J762" s="119">
        <v>0.47499999999999998</v>
      </c>
      <c r="K762" s="119">
        <v>0.50900000000000001</v>
      </c>
      <c r="L762" s="119">
        <v>0.38300000000000001</v>
      </c>
      <c r="M762" s="119">
        <v>0.61</v>
      </c>
      <c r="N762" s="119">
        <v>0.71299999999999997</v>
      </c>
      <c r="O762" s="119">
        <v>0.81399999999999995</v>
      </c>
      <c r="P762" s="119">
        <v>0.91700000000000004</v>
      </c>
      <c r="Q762" s="120">
        <v>1.018</v>
      </c>
    </row>
    <row r="763" spans="1:17" x14ac:dyDescent="0.3">
      <c r="A763" s="309"/>
      <c r="B763" s="117" t="s">
        <v>802</v>
      </c>
      <c r="C763" s="118">
        <v>7.1999999999999995E-2</v>
      </c>
      <c r="D763" s="118">
        <v>8.7999999999999995E-2</v>
      </c>
      <c r="E763" s="118">
        <v>0.111</v>
      </c>
      <c r="F763" s="118">
        <v>0.14199999999999999</v>
      </c>
      <c r="G763" s="118">
        <v>0.17</v>
      </c>
      <c r="H763" s="119">
        <v>0.20399999999999999</v>
      </c>
      <c r="I763" s="119">
        <v>0.221</v>
      </c>
      <c r="J763" s="119">
        <v>0.23799999999999999</v>
      </c>
      <c r="K763" s="119">
        <v>0.254</v>
      </c>
      <c r="L763" s="119">
        <v>0.27100000000000002</v>
      </c>
      <c r="M763" s="119">
        <v>0.30599999999999999</v>
      </c>
      <c r="N763" s="119">
        <v>0.35599999999999998</v>
      </c>
      <c r="O763" s="119">
        <v>0.40699999999999997</v>
      </c>
      <c r="P763" s="119">
        <v>0.45800000000000002</v>
      </c>
      <c r="Q763" s="120">
        <v>0.50900000000000001</v>
      </c>
    </row>
    <row r="764" spans="1:17" ht="24" x14ac:dyDescent="0.3">
      <c r="A764" s="309"/>
      <c r="B764" s="117" t="s">
        <v>803</v>
      </c>
      <c r="C764" s="118">
        <v>7.1999999999999995E-2</v>
      </c>
      <c r="D764" s="118">
        <v>8.7999999999999995E-2</v>
      </c>
      <c r="E764" s="118">
        <v>0.111</v>
      </c>
      <c r="F764" s="118">
        <v>0.14199999999999999</v>
      </c>
      <c r="G764" s="118">
        <v>0.17</v>
      </c>
      <c r="H764" s="119">
        <v>0.20399999999999999</v>
      </c>
      <c r="I764" s="119">
        <v>0.221</v>
      </c>
      <c r="J764" s="119">
        <v>0.23799999999999999</v>
      </c>
      <c r="K764" s="119">
        <v>0.254</v>
      </c>
      <c r="L764" s="119">
        <v>0.27100000000000002</v>
      </c>
      <c r="M764" s="119">
        <v>0.30599999999999999</v>
      </c>
      <c r="N764" s="119">
        <v>0.35599999999999998</v>
      </c>
      <c r="O764" s="119">
        <v>0.40699999999999997</v>
      </c>
      <c r="P764" s="119">
        <v>0.45800000000000002</v>
      </c>
      <c r="Q764" s="120">
        <v>0.50900000000000001</v>
      </c>
    </row>
    <row r="765" spans="1:17" x14ac:dyDescent="0.3">
      <c r="A765" s="309"/>
      <c r="B765" s="117" t="s">
        <v>804</v>
      </c>
      <c r="C765" s="118">
        <v>7.1999999999999995E-2</v>
      </c>
      <c r="D765" s="118">
        <v>8.7999999999999995E-2</v>
      </c>
      <c r="E765" s="118">
        <v>0.111</v>
      </c>
      <c r="F765" s="118">
        <v>0.14199999999999999</v>
      </c>
      <c r="G765" s="118">
        <v>0.17</v>
      </c>
      <c r="H765" s="119">
        <v>0.20399999999999999</v>
      </c>
      <c r="I765" s="119">
        <v>0.221</v>
      </c>
      <c r="J765" s="119">
        <v>0.23799999999999999</v>
      </c>
      <c r="K765" s="119">
        <v>0.254</v>
      </c>
      <c r="L765" s="119">
        <v>0.27100000000000002</v>
      </c>
      <c r="M765" s="119">
        <v>0.30599999999999999</v>
      </c>
      <c r="N765" s="119">
        <v>0.35599999999999998</v>
      </c>
      <c r="O765" s="119">
        <v>0.40699999999999997</v>
      </c>
      <c r="P765" s="119">
        <v>0.45800000000000002</v>
      </c>
      <c r="Q765" s="120">
        <v>0.50900000000000001</v>
      </c>
    </row>
    <row r="766" spans="1:17" x14ac:dyDescent="0.3">
      <c r="A766" s="309"/>
      <c r="B766" s="117" t="s">
        <v>805</v>
      </c>
      <c r="C766" s="118">
        <v>0.20699999999999999</v>
      </c>
      <c r="D766" s="118">
        <v>0.252</v>
      </c>
      <c r="E766" s="118">
        <v>0.316</v>
      </c>
      <c r="F766" s="118">
        <v>0.40699999999999997</v>
      </c>
      <c r="G766" s="118">
        <v>0.48499999999999999</v>
      </c>
      <c r="H766" s="119">
        <v>0.58199999999999996</v>
      </c>
      <c r="I766" s="119">
        <v>0.63</v>
      </c>
      <c r="J766" s="119">
        <v>0.67800000000000005</v>
      </c>
      <c r="K766" s="119">
        <v>0.72599999999999998</v>
      </c>
      <c r="L766" s="119">
        <v>0.77500000000000002</v>
      </c>
      <c r="M766" s="119">
        <v>0.873</v>
      </c>
      <c r="N766" s="119">
        <v>1.018</v>
      </c>
      <c r="O766" s="119">
        <v>1.1639999999999999</v>
      </c>
      <c r="P766" s="119">
        <v>1.3089999999999999</v>
      </c>
      <c r="Q766" s="120">
        <v>1.454</v>
      </c>
    </row>
    <row r="767" spans="1:17" x14ac:dyDescent="0.3">
      <c r="A767" s="309"/>
      <c r="B767" s="117" t="s">
        <v>806</v>
      </c>
      <c r="C767" s="118">
        <v>0.31</v>
      </c>
      <c r="D767" s="118">
        <v>0.378</v>
      </c>
      <c r="E767" s="118">
        <v>0.47499999999999998</v>
      </c>
      <c r="F767" s="118">
        <v>0.61099999999999999</v>
      </c>
      <c r="G767" s="118">
        <v>0.72699999999999998</v>
      </c>
      <c r="H767" s="119">
        <v>0.873</v>
      </c>
      <c r="I767" s="119">
        <v>0.94499999999999995</v>
      </c>
      <c r="J767" s="119">
        <v>1.018</v>
      </c>
      <c r="K767" s="119">
        <v>1.0900000000000001</v>
      </c>
      <c r="L767" s="119">
        <v>1.163</v>
      </c>
      <c r="M767" s="119">
        <v>1.3089999999999999</v>
      </c>
      <c r="N767" s="119">
        <v>1.5269999999999999</v>
      </c>
      <c r="O767" s="119">
        <v>1.746</v>
      </c>
      <c r="P767" s="119">
        <v>1.964</v>
      </c>
      <c r="Q767" s="120">
        <v>2.1819999999999999</v>
      </c>
    </row>
    <row r="768" spans="1:17" ht="15" thickBot="1" x14ac:dyDescent="0.35">
      <c r="A768" s="310"/>
      <c r="B768" s="117" t="s">
        <v>807</v>
      </c>
      <c r="C768" s="118">
        <v>0.31</v>
      </c>
      <c r="D768" s="118">
        <v>0.378</v>
      </c>
      <c r="E768" s="118">
        <v>0.47499999999999998</v>
      </c>
      <c r="F768" s="118">
        <v>0.61099999999999999</v>
      </c>
      <c r="G768" s="118">
        <v>0.72699999999999998</v>
      </c>
      <c r="H768" s="119">
        <v>0.873</v>
      </c>
      <c r="I768" s="119">
        <v>0.94499999999999995</v>
      </c>
      <c r="J768" s="119">
        <v>1.018</v>
      </c>
      <c r="K768" s="119">
        <v>1.0900000000000001</v>
      </c>
      <c r="L768" s="119">
        <v>1.163</v>
      </c>
      <c r="M768" s="119">
        <v>1.3089999999999999</v>
      </c>
      <c r="N768" s="119">
        <v>1.5269999999999999</v>
      </c>
      <c r="O768" s="119">
        <v>1.746</v>
      </c>
      <c r="P768" s="119">
        <v>1.964</v>
      </c>
      <c r="Q768" s="120">
        <v>2.1819999999999999</v>
      </c>
    </row>
    <row r="769" spans="1:17" ht="15" customHeight="1" x14ac:dyDescent="0.3">
      <c r="A769" s="305" t="s">
        <v>808</v>
      </c>
      <c r="B769" s="121" t="s">
        <v>800</v>
      </c>
      <c r="C769" s="122">
        <v>0.112</v>
      </c>
      <c r="D769" s="122">
        <v>0.13800000000000001</v>
      </c>
      <c r="E769" s="122">
        <v>0.17399999999999999</v>
      </c>
      <c r="F769" s="122">
        <v>0.223</v>
      </c>
      <c r="G769" s="122">
        <v>0.26900000000000002</v>
      </c>
      <c r="H769" s="123">
        <v>0.318</v>
      </c>
      <c r="I769" s="123">
        <v>0.34399999999999997</v>
      </c>
      <c r="J769" s="123">
        <v>0.371</v>
      </c>
      <c r="K769" s="123">
        <v>0.39600000000000002</v>
      </c>
      <c r="L769" s="123">
        <v>0.42299999999999999</v>
      </c>
      <c r="M769" s="123">
        <v>0.47699999999999998</v>
      </c>
      <c r="N769" s="123">
        <v>0.55600000000000005</v>
      </c>
      <c r="O769" s="123">
        <v>0.63700000000000001</v>
      </c>
      <c r="P769" s="123">
        <v>0.71599999999999997</v>
      </c>
      <c r="Q769" s="124">
        <v>0.79500000000000004</v>
      </c>
    </row>
    <row r="770" spans="1:17" x14ac:dyDescent="0.3">
      <c r="A770" s="306"/>
      <c r="B770" s="125" t="s">
        <v>801</v>
      </c>
      <c r="C770" s="126">
        <v>0.08</v>
      </c>
      <c r="D770" s="126">
        <v>9.7000000000000003E-2</v>
      </c>
      <c r="E770" s="126">
        <v>0.122</v>
      </c>
      <c r="F770" s="126">
        <v>0.157</v>
      </c>
      <c r="G770" s="126">
        <v>0.187</v>
      </c>
      <c r="H770" s="127">
        <v>0.224</v>
      </c>
      <c r="I770" s="127">
        <v>0.24299999999999999</v>
      </c>
      <c r="J770" s="127">
        <v>0.26200000000000001</v>
      </c>
      <c r="K770" s="127">
        <v>0.27900000000000003</v>
      </c>
      <c r="L770" s="127">
        <v>0.29799999999999999</v>
      </c>
      <c r="M770" s="127">
        <v>0.33600000000000002</v>
      </c>
      <c r="N770" s="127">
        <v>0.39200000000000002</v>
      </c>
      <c r="O770" s="127">
        <v>0.44900000000000001</v>
      </c>
      <c r="P770" s="127">
        <v>0.504</v>
      </c>
      <c r="Q770" s="128">
        <v>0.56000000000000005</v>
      </c>
    </row>
    <row r="771" spans="1:17" x14ac:dyDescent="0.3">
      <c r="A771" s="306"/>
      <c r="B771" s="125" t="s">
        <v>802</v>
      </c>
      <c r="C771" s="126">
        <v>0.04</v>
      </c>
      <c r="D771" s="126">
        <v>4.8000000000000001E-2</v>
      </c>
      <c r="E771" s="126">
        <v>6.0999999999999999E-2</v>
      </c>
      <c r="F771" s="126">
        <v>7.8E-2</v>
      </c>
      <c r="G771" s="126">
        <v>9.2999999999999999E-2</v>
      </c>
      <c r="H771" s="127">
        <v>0.111</v>
      </c>
      <c r="I771" s="127">
        <v>0.121</v>
      </c>
      <c r="J771" s="127">
        <v>0.13</v>
      </c>
      <c r="K771" s="127">
        <v>0.13900000000000001</v>
      </c>
      <c r="L771" s="127">
        <v>0.14799999999999999</v>
      </c>
      <c r="M771" s="127">
        <v>0.16700000000000001</v>
      </c>
      <c r="N771" s="127">
        <v>0.19500000000000001</v>
      </c>
      <c r="O771" s="127">
        <v>0.223</v>
      </c>
      <c r="P771" s="127">
        <v>0.251</v>
      </c>
      <c r="Q771" s="128">
        <v>0.27900000000000003</v>
      </c>
    </row>
    <row r="772" spans="1:17" ht="24" x14ac:dyDescent="0.3">
      <c r="A772" s="306"/>
      <c r="B772" s="125" t="s">
        <v>803</v>
      </c>
      <c r="C772" s="126">
        <v>0.04</v>
      </c>
      <c r="D772" s="126">
        <v>4.8000000000000001E-2</v>
      </c>
      <c r="E772" s="126">
        <v>6.0999999999999999E-2</v>
      </c>
      <c r="F772" s="126">
        <v>7.8E-2</v>
      </c>
      <c r="G772" s="126">
        <v>9.2999999999999999E-2</v>
      </c>
      <c r="H772" s="127">
        <v>0.111</v>
      </c>
      <c r="I772" s="127">
        <v>0.121</v>
      </c>
      <c r="J772" s="127">
        <v>0.13</v>
      </c>
      <c r="K772" s="127">
        <v>0.13900000000000001</v>
      </c>
      <c r="L772" s="127">
        <v>0.14799999999999999</v>
      </c>
      <c r="M772" s="127">
        <v>0.16700000000000001</v>
      </c>
      <c r="N772" s="127">
        <v>0.19500000000000001</v>
      </c>
      <c r="O772" s="127">
        <v>0.223</v>
      </c>
      <c r="P772" s="127">
        <v>0.251</v>
      </c>
      <c r="Q772" s="128">
        <v>0.27900000000000003</v>
      </c>
    </row>
    <row r="773" spans="1:17" x14ac:dyDescent="0.3">
      <c r="A773" s="306"/>
      <c r="B773" s="125" t="s">
        <v>804</v>
      </c>
      <c r="C773" s="126">
        <v>0.04</v>
      </c>
      <c r="D773" s="126">
        <v>4.8000000000000001E-2</v>
      </c>
      <c r="E773" s="126">
        <v>6.0999999999999999E-2</v>
      </c>
      <c r="F773" s="126">
        <v>7.8E-2</v>
      </c>
      <c r="G773" s="126">
        <v>9.2999999999999999E-2</v>
      </c>
      <c r="H773" s="127">
        <v>0.111</v>
      </c>
      <c r="I773" s="127">
        <v>0.121</v>
      </c>
      <c r="J773" s="127">
        <v>0.13</v>
      </c>
      <c r="K773" s="127">
        <v>0.13900000000000001</v>
      </c>
      <c r="L773" s="127">
        <v>0.14799999999999999</v>
      </c>
      <c r="M773" s="127">
        <v>0.16700000000000001</v>
      </c>
      <c r="N773" s="127">
        <v>0.19500000000000001</v>
      </c>
      <c r="O773" s="127">
        <v>0.223</v>
      </c>
      <c r="P773" s="127">
        <v>0.251</v>
      </c>
      <c r="Q773" s="128">
        <v>0.27900000000000003</v>
      </c>
    </row>
    <row r="774" spans="1:17" x14ac:dyDescent="0.3">
      <c r="A774" s="306"/>
      <c r="B774" s="125" t="s">
        <v>805</v>
      </c>
      <c r="C774" s="126">
        <v>0.114</v>
      </c>
      <c r="D774" s="126">
        <v>0.13900000000000001</v>
      </c>
      <c r="E774" s="126">
        <v>0.17499999999999999</v>
      </c>
      <c r="F774" s="126">
        <v>0.224</v>
      </c>
      <c r="G774" s="126">
        <v>0.26700000000000002</v>
      </c>
      <c r="H774" s="127">
        <v>0.31900000000000001</v>
      </c>
      <c r="I774" s="127">
        <v>0.34599999999999997</v>
      </c>
      <c r="J774" s="127">
        <v>0.374</v>
      </c>
      <c r="K774" s="127">
        <v>0.39900000000000002</v>
      </c>
      <c r="L774" s="127">
        <v>0.42599999999999999</v>
      </c>
      <c r="M774" s="127">
        <v>0.48</v>
      </c>
      <c r="N774" s="127">
        <v>0.55900000000000005</v>
      </c>
      <c r="O774" s="127">
        <v>0.64100000000000001</v>
      </c>
      <c r="P774" s="127">
        <v>0.72</v>
      </c>
      <c r="Q774" s="128">
        <v>0.79900000000000004</v>
      </c>
    </row>
    <row r="775" spans="1:17" x14ac:dyDescent="0.3">
      <c r="A775" s="306"/>
      <c r="B775" s="125" t="s">
        <v>806</v>
      </c>
      <c r="C775" s="126">
        <v>0.17</v>
      </c>
      <c r="D775" s="126">
        <v>0.20799999999999999</v>
      </c>
      <c r="E775" s="126">
        <v>0.26100000000000001</v>
      </c>
      <c r="F775" s="126">
        <v>0.33600000000000002</v>
      </c>
      <c r="G775" s="126">
        <v>0.4</v>
      </c>
      <c r="H775" s="127">
        <v>0.47799999999999998</v>
      </c>
      <c r="I775" s="127">
        <v>0.51900000000000002</v>
      </c>
      <c r="J775" s="127">
        <v>0.55900000000000005</v>
      </c>
      <c r="K775" s="127">
        <v>0.59699999999999998</v>
      </c>
      <c r="L775" s="127">
        <v>0.63700000000000001</v>
      </c>
      <c r="M775" s="127">
        <v>0.71799999999999997</v>
      </c>
      <c r="N775" s="127">
        <v>0.83699999999999997</v>
      </c>
      <c r="O775" s="127">
        <v>0.95899999999999996</v>
      </c>
      <c r="P775" s="127">
        <v>1.0780000000000001</v>
      </c>
      <c r="Q775" s="128">
        <v>1.196</v>
      </c>
    </row>
    <row r="776" spans="1:17" x14ac:dyDescent="0.3">
      <c r="A776" s="307"/>
      <c r="B776" s="125" t="s">
        <v>807</v>
      </c>
      <c r="C776" s="126">
        <v>0.17</v>
      </c>
      <c r="D776" s="126">
        <v>0.20799999999999999</v>
      </c>
      <c r="E776" s="126">
        <v>0.26100000000000001</v>
      </c>
      <c r="F776" s="126">
        <v>0.33600000000000002</v>
      </c>
      <c r="G776" s="126">
        <v>0.4</v>
      </c>
      <c r="H776" s="127">
        <v>0.47799999999999998</v>
      </c>
      <c r="I776" s="127">
        <v>0.51900000000000002</v>
      </c>
      <c r="J776" s="127">
        <v>0.55900000000000005</v>
      </c>
      <c r="K776" s="127">
        <v>0.59699999999999998</v>
      </c>
      <c r="L776" s="127">
        <v>0.63700000000000001</v>
      </c>
      <c r="M776" s="127">
        <v>0.71799999999999997</v>
      </c>
      <c r="N776" s="127">
        <v>0.83699999999999997</v>
      </c>
      <c r="O776" s="127">
        <v>0.95899999999999996</v>
      </c>
      <c r="P776" s="127">
        <v>1.0780000000000001</v>
      </c>
      <c r="Q776" s="128">
        <v>1.196</v>
      </c>
    </row>
    <row r="777" spans="1:17" ht="15" customHeight="1" thickBot="1" x14ac:dyDescent="0.35">
      <c r="A777" s="297" t="s">
        <v>809</v>
      </c>
      <c r="B777" s="297"/>
      <c r="C777" s="297"/>
      <c r="D777" s="297"/>
      <c r="E777" s="297"/>
      <c r="F777" s="297"/>
      <c r="G777" s="297"/>
      <c r="H777" s="297"/>
      <c r="I777" s="297"/>
      <c r="J777" s="297"/>
      <c r="K777" s="297"/>
      <c r="L777" s="297"/>
      <c r="M777" s="297"/>
      <c r="N777" s="297"/>
      <c r="O777" s="297"/>
      <c r="P777" s="297"/>
      <c r="Q777" s="297"/>
    </row>
    <row r="778" spans="1:17" x14ac:dyDescent="0.3">
      <c r="A778" s="308" t="s">
        <v>799</v>
      </c>
      <c r="B778" s="113" t="s">
        <v>800</v>
      </c>
      <c r="C778" s="115">
        <v>0.29499999999999998</v>
      </c>
      <c r="D778" s="115">
        <v>0.33500000000000002</v>
      </c>
      <c r="E778" s="115">
        <v>0.42</v>
      </c>
      <c r="F778" s="115">
        <v>0.53100000000000003</v>
      </c>
      <c r="G778" s="115">
        <v>0.61399999999999999</v>
      </c>
      <c r="H778" s="115">
        <v>0.73499999999999999</v>
      </c>
      <c r="I778" s="115">
        <v>0.79700000000000004</v>
      </c>
      <c r="J778" s="115">
        <v>0.86</v>
      </c>
      <c r="K778" s="115">
        <v>0.91900000000000004</v>
      </c>
      <c r="L778" s="115">
        <v>0.98099999999999998</v>
      </c>
      <c r="M778" s="115">
        <v>1.1020000000000001</v>
      </c>
      <c r="N778" s="115">
        <v>1.2889999999999999</v>
      </c>
      <c r="O778" s="115">
        <v>1.4730000000000001</v>
      </c>
      <c r="P778" s="115">
        <v>1.657</v>
      </c>
      <c r="Q778" s="116">
        <v>1.841</v>
      </c>
    </row>
    <row r="779" spans="1:17" x14ac:dyDescent="0.3">
      <c r="A779" s="309"/>
      <c r="B779" s="117" t="s">
        <v>801</v>
      </c>
      <c r="C779" s="119">
        <v>0.20799999999999999</v>
      </c>
      <c r="D779" s="119">
        <v>0.23499999999999999</v>
      </c>
      <c r="E779" s="119">
        <v>0.29399999999999998</v>
      </c>
      <c r="F779" s="119">
        <v>0.371</v>
      </c>
      <c r="G779" s="119">
        <v>0.43</v>
      </c>
      <c r="H779" s="119">
        <v>0.51500000000000001</v>
      </c>
      <c r="I779" s="119">
        <v>0.55800000000000005</v>
      </c>
      <c r="J779" s="119">
        <v>0.60199999999999998</v>
      </c>
      <c r="K779" s="119">
        <v>0.64400000000000002</v>
      </c>
      <c r="L779" s="119">
        <v>0.68700000000000006</v>
      </c>
      <c r="M779" s="119">
        <v>0.77300000000000002</v>
      </c>
      <c r="N779" s="119">
        <v>0.90200000000000002</v>
      </c>
      <c r="O779" s="119">
        <v>1.0309999999999999</v>
      </c>
      <c r="P779" s="119">
        <v>1.1599999999999999</v>
      </c>
      <c r="Q779" s="120">
        <v>1.2889999999999999</v>
      </c>
    </row>
    <row r="780" spans="1:17" x14ac:dyDescent="0.3">
      <c r="A780" s="309"/>
      <c r="B780" s="117" t="s">
        <v>802</v>
      </c>
      <c r="C780" s="119">
        <v>0.104</v>
      </c>
      <c r="D780" s="119">
        <v>0.11700000000000001</v>
      </c>
      <c r="E780" s="119">
        <v>0.14699999999999999</v>
      </c>
      <c r="F780" s="119">
        <v>0.185</v>
      </c>
      <c r="G780" s="119">
        <v>0.215</v>
      </c>
      <c r="H780" s="119">
        <v>0.25800000000000001</v>
      </c>
      <c r="I780" s="119">
        <v>0.27900000000000003</v>
      </c>
      <c r="J780" s="119">
        <v>0.30099999999999999</v>
      </c>
      <c r="K780" s="119">
        <v>0.32200000000000001</v>
      </c>
      <c r="L780" s="119">
        <v>0.34300000000000003</v>
      </c>
      <c r="M780" s="119">
        <v>0.38600000000000001</v>
      </c>
      <c r="N780" s="119">
        <v>0.45100000000000001</v>
      </c>
      <c r="O780" s="119">
        <v>0.51500000000000001</v>
      </c>
      <c r="P780" s="119">
        <v>0.57999999999999996</v>
      </c>
      <c r="Q780" s="120">
        <v>0.64400000000000002</v>
      </c>
    </row>
    <row r="781" spans="1:17" ht="24" x14ac:dyDescent="0.3">
      <c r="A781" s="309"/>
      <c r="B781" s="117" t="s">
        <v>803</v>
      </c>
      <c r="C781" s="119">
        <v>0.104</v>
      </c>
      <c r="D781" s="119">
        <v>0.11700000000000001</v>
      </c>
      <c r="E781" s="119">
        <v>0.14699999999999999</v>
      </c>
      <c r="F781" s="119">
        <v>0.185</v>
      </c>
      <c r="G781" s="119">
        <v>0.215</v>
      </c>
      <c r="H781" s="119">
        <v>0.25800000000000001</v>
      </c>
      <c r="I781" s="119">
        <v>0.27900000000000003</v>
      </c>
      <c r="J781" s="119">
        <v>0.30099999999999999</v>
      </c>
      <c r="K781" s="119">
        <v>0.32200000000000001</v>
      </c>
      <c r="L781" s="119">
        <v>0.34300000000000003</v>
      </c>
      <c r="M781" s="119">
        <v>0.38600000000000001</v>
      </c>
      <c r="N781" s="119">
        <v>0.45100000000000001</v>
      </c>
      <c r="O781" s="119">
        <v>0.51500000000000001</v>
      </c>
      <c r="P781" s="119">
        <v>0.57999999999999996</v>
      </c>
      <c r="Q781" s="120">
        <v>0.64400000000000002</v>
      </c>
    </row>
    <row r="782" spans="1:17" x14ac:dyDescent="0.3">
      <c r="A782" s="309"/>
      <c r="B782" s="117" t="s">
        <v>804</v>
      </c>
      <c r="C782" s="119">
        <v>0.104</v>
      </c>
      <c r="D782" s="119">
        <v>0.11700000000000001</v>
      </c>
      <c r="E782" s="119">
        <v>0.14699999999999999</v>
      </c>
      <c r="F782" s="119">
        <v>0.185</v>
      </c>
      <c r="G782" s="119">
        <v>0.215</v>
      </c>
      <c r="H782" s="119">
        <v>0.25800000000000001</v>
      </c>
      <c r="I782" s="119">
        <v>0.27900000000000003</v>
      </c>
      <c r="J782" s="119">
        <v>0.30099999999999999</v>
      </c>
      <c r="K782" s="119">
        <v>0.32200000000000001</v>
      </c>
      <c r="L782" s="119">
        <v>0.34300000000000003</v>
      </c>
      <c r="M782" s="119">
        <v>0.38600000000000001</v>
      </c>
      <c r="N782" s="119">
        <v>0.45100000000000001</v>
      </c>
      <c r="O782" s="119">
        <v>0.51500000000000001</v>
      </c>
      <c r="P782" s="119">
        <v>0.57999999999999996</v>
      </c>
      <c r="Q782" s="120">
        <v>0.64400000000000002</v>
      </c>
    </row>
    <row r="783" spans="1:17" x14ac:dyDescent="0.3">
      <c r="A783" s="309"/>
      <c r="B783" s="117" t="s">
        <v>805</v>
      </c>
      <c r="C783" s="119">
        <v>0.29699999999999999</v>
      </c>
      <c r="D783" s="119">
        <v>0.33500000000000002</v>
      </c>
      <c r="E783" s="119">
        <v>0.42</v>
      </c>
      <c r="F783" s="119">
        <v>0.52900000000000003</v>
      </c>
      <c r="G783" s="119">
        <v>0.61399999999999999</v>
      </c>
      <c r="H783" s="119">
        <v>0.73599999999999999</v>
      </c>
      <c r="I783" s="119">
        <v>0.79800000000000004</v>
      </c>
      <c r="J783" s="119">
        <v>0.85899999999999999</v>
      </c>
      <c r="K783" s="119">
        <v>0.92</v>
      </c>
      <c r="L783" s="119">
        <v>0.98199999999999998</v>
      </c>
      <c r="M783" s="119">
        <v>1.1040000000000001</v>
      </c>
      <c r="N783" s="119">
        <v>1.2889999999999999</v>
      </c>
      <c r="O783" s="119">
        <v>1.4730000000000001</v>
      </c>
      <c r="P783" s="119">
        <v>1.657</v>
      </c>
      <c r="Q783" s="120">
        <v>1.841</v>
      </c>
    </row>
    <row r="784" spans="1:17" x14ac:dyDescent="0.3">
      <c r="A784" s="309"/>
      <c r="B784" s="117" t="s">
        <v>806</v>
      </c>
      <c r="C784" s="119">
        <v>0.44600000000000001</v>
      </c>
      <c r="D784" s="119">
        <v>0.503</v>
      </c>
      <c r="E784" s="119">
        <v>0.63</v>
      </c>
      <c r="F784" s="119">
        <v>0.79400000000000004</v>
      </c>
      <c r="G784" s="119">
        <v>0.92</v>
      </c>
      <c r="H784" s="119">
        <v>1.105</v>
      </c>
      <c r="I784" s="119">
        <v>1.196</v>
      </c>
      <c r="J784" s="119">
        <v>1.288</v>
      </c>
      <c r="K784" s="119">
        <v>1.38</v>
      </c>
      <c r="L784" s="119">
        <v>1.472</v>
      </c>
      <c r="M784" s="119">
        <v>1.6559999999999999</v>
      </c>
      <c r="N784" s="119">
        <v>1.9330000000000001</v>
      </c>
      <c r="O784" s="119">
        <v>2.21</v>
      </c>
      <c r="P784" s="119">
        <v>2.4860000000000002</v>
      </c>
      <c r="Q784" s="120">
        <v>2.762</v>
      </c>
    </row>
    <row r="785" spans="1:19" ht="15" thickBot="1" x14ac:dyDescent="0.35">
      <c r="A785" s="310"/>
      <c r="B785" s="117" t="s">
        <v>807</v>
      </c>
      <c r="C785" s="119">
        <v>0.44600000000000001</v>
      </c>
      <c r="D785" s="119">
        <v>0.503</v>
      </c>
      <c r="E785" s="119">
        <v>0.63</v>
      </c>
      <c r="F785" s="119">
        <v>0.79400000000000004</v>
      </c>
      <c r="G785" s="119">
        <v>0.92</v>
      </c>
      <c r="H785" s="119">
        <v>1.105</v>
      </c>
      <c r="I785" s="119">
        <v>1.196</v>
      </c>
      <c r="J785" s="119">
        <v>1.288</v>
      </c>
      <c r="K785" s="119">
        <v>1.38</v>
      </c>
      <c r="L785" s="119">
        <v>1.472</v>
      </c>
      <c r="M785" s="119">
        <v>1.6559999999999999</v>
      </c>
      <c r="N785" s="119">
        <v>1.9330000000000001</v>
      </c>
      <c r="O785" s="119">
        <v>2.21</v>
      </c>
      <c r="P785" s="119">
        <v>2.4860000000000002</v>
      </c>
      <c r="Q785" s="120">
        <v>2.762</v>
      </c>
    </row>
    <row r="786" spans="1:19" ht="15" customHeight="1" x14ac:dyDescent="0.3">
      <c r="A786" s="305" t="s">
        <v>808</v>
      </c>
      <c r="B786" s="121" t="s">
        <v>800</v>
      </c>
      <c r="C786" s="123">
        <v>0.161</v>
      </c>
      <c r="D786" s="123">
        <v>0.184</v>
      </c>
      <c r="E786" s="123">
        <v>0.23</v>
      </c>
      <c r="F786" s="123">
        <v>0.29199999999999998</v>
      </c>
      <c r="G786" s="123">
        <v>0.33800000000000002</v>
      </c>
      <c r="H786" s="123">
        <v>0.40300000000000002</v>
      </c>
      <c r="I786" s="123">
        <v>0.437</v>
      </c>
      <c r="J786" s="123">
        <v>0.47099999999999997</v>
      </c>
      <c r="K786" s="123">
        <v>0.504</v>
      </c>
      <c r="L786" s="123">
        <v>0.53800000000000003</v>
      </c>
      <c r="M786" s="123">
        <v>0.60399999999999998</v>
      </c>
      <c r="N786" s="123">
        <v>0.70699999999999996</v>
      </c>
      <c r="O786" s="123">
        <v>0.80700000000000005</v>
      </c>
      <c r="P786" s="123">
        <v>0.90800000000000003</v>
      </c>
      <c r="Q786" s="124">
        <v>1.0089999999999999</v>
      </c>
    </row>
    <row r="787" spans="1:19" x14ac:dyDescent="0.3">
      <c r="A787" s="306"/>
      <c r="B787" s="125" t="s">
        <v>801</v>
      </c>
      <c r="C787" s="127">
        <v>0.114</v>
      </c>
      <c r="D787" s="127">
        <v>0.129</v>
      </c>
      <c r="E787" s="127">
        <v>0.16200000000000001</v>
      </c>
      <c r="F787" s="127">
        <v>0.20399999999999999</v>
      </c>
      <c r="G787" s="127">
        <v>0.23599999999999999</v>
      </c>
      <c r="H787" s="127">
        <v>0.28299999999999997</v>
      </c>
      <c r="I787" s="127">
        <v>0.307</v>
      </c>
      <c r="J787" s="127">
        <v>0.33100000000000002</v>
      </c>
      <c r="K787" s="127">
        <v>0.35399999999999998</v>
      </c>
      <c r="L787" s="127">
        <v>0.378</v>
      </c>
      <c r="M787" s="127">
        <v>0.42499999999999999</v>
      </c>
      <c r="N787" s="127">
        <v>0.497</v>
      </c>
      <c r="O787" s="127">
        <v>0.56699999999999995</v>
      </c>
      <c r="P787" s="127">
        <v>0.63800000000000001</v>
      </c>
      <c r="Q787" s="128">
        <v>0.70899999999999996</v>
      </c>
    </row>
    <row r="788" spans="1:19" x14ac:dyDescent="0.3">
      <c r="A788" s="306"/>
      <c r="B788" s="125" t="s">
        <v>802</v>
      </c>
      <c r="C788" s="127">
        <v>5.7000000000000002E-2</v>
      </c>
      <c r="D788" s="127">
        <v>6.5000000000000002E-2</v>
      </c>
      <c r="E788" s="127">
        <v>8.1000000000000003E-2</v>
      </c>
      <c r="F788" s="127">
        <v>0.10199999999999999</v>
      </c>
      <c r="G788" s="127">
        <v>0.11799999999999999</v>
      </c>
      <c r="H788" s="127">
        <v>0.14199999999999999</v>
      </c>
      <c r="I788" s="127">
        <v>0.154</v>
      </c>
      <c r="J788" s="127">
        <v>0.16600000000000001</v>
      </c>
      <c r="K788" s="127">
        <v>0.17699999999999999</v>
      </c>
      <c r="L788" s="127">
        <v>0.189</v>
      </c>
      <c r="M788" s="127">
        <v>0.21299999999999999</v>
      </c>
      <c r="N788" s="127">
        <v>0.249</v>
      </c>
      <c r="O788" s="127">
        <v>0.28399999999999997</v>
      </c>
      <c r="P788" s="127">
        <v>0.32</v>
      </c>
      <c r="Q788" s="128">
        <v>0.35499999999999998</v>
      </c>
    </row>
    <row r="789" spans="1:19" ht="24" x14ac:dyDescent="0.3">
      <c r="A789" s="306"/>
      <c r="B789" s="125" t="s">
        <v>803</v>
      </c>
      <c r="C789" s="127">
        <v>5.7000000000000002E-2</v>
      </c>
      <c r="D789" s="127">
        <v>6.5000000000000002E-2</v>
      </c>
      <c r="E789" s="127">
        <v>8.1000000000000003E-2</v>
      </c>
      <c r="F789" s="127">
        <v>0.10199999999999999</v>
      </c>
      <c r="G789" s="127">
        <v>0.11799999999999999</v>
      </c>
      <c r="H789" s="127">
        <v>0.14199999999999999</v>
      </c>
      <c r="I789" s="127">
        <v>0.154</v>
      </c>
      <c r="J789" s="127">
        <v>0.16600000000000001</v>
      </c>
      <c r="K789" s="127">
        <v>0.17699999999999999</v>
      </c>
      <c r="L789" s="127">
        <v>0.189</v>
      </c>
      <c r="M789" s="127">
        <v>0.21299999999999999</v>
      </c>
      <c r="N789" s="127">
        <v>0.249</v>
      </c>
      <c r="O789" s="127">
        <v>0.28399999999999997</v>
      </c>
      <c r="P789" s="127">
        <v>0.32</v>
      </c>
      <c r="Q789" s="128">
        <v>0.35499999999999998</v>
      </c>
    </row>
    <row r="790" spans="1:19" x14ac:dyDescent="0.3">
      <c r="A790" s="306"/>
      <c r="B790" s="125" t="s">
        <v>804</v>
      </c>
      <c r="C790" s="127">
        <v>5.7000000000000002E-2</v>
      </c>
      <c r="D790" s="127">
        <v>6.5000000000000002E-2</v>
      </c>
      <c r="E790" s="127">
        <v>8.1000000000000003E-2</v>
      </c>
      <c r="F790" s="127">
        <v>0.10199999999999999</v>
      </c>
      <c r="G790" s="127">
        <v>0.11799999999999999</v>
      </c>
      <c r="H790" s="127">
        <v>0.14199999999999999</v>
      </c>
      <c r="I790" s="127">
        <v>0.154</v>
      </c>
      <c r="J790" s="127">
        <v>0.16600000000000001</v>
      </c>
      <c r="K790" s="127">
        <v>0.17699999999999999</v>
      </c>
      <c r="L790" s="127">
        <v>0.189</v>
      </c>
      <c r="M790" s="127">
        <v>0.21299999999999999</v>
      </c>
      <c r="N790" s="127">
        <v>0.249</v>
      </c>
      <c r="O790" s="127">
        <v>0.28399999999999997</v>
      </c>
      <c r="P790" s="127">
        <v>0.32</v>
      </c>
      <c r="Q790" s="128">
        <v>0.35499999999999998</v>
      </c>
    </row>
    <row r="791" spans="1:19" x14ac:dyDescent="0.3">
      <c r="A791" s="306"/>
      <c r="B791" s="125" t="s">
        <v>805</v>
      </c>
      <c r="C791" s="127">
        <v>0.16400000000000001</v>
      </c>
      <c r="D791" s="127">
        <v>0.184</v>
      </c>
      <c r="E791" s="127">
        <v>0.23100000000000001</v>
      </c>
      <c r="F791" s="127">
        <v>0.29099999999999998</v>
      </c>
      <c r="G791" s="127">
        <v>0.33700000000000002</v>
      </c>
      <c r="H791" s="127">
        <v>0.40500000000000003</v>
      </c>
      <c r="I791" s="127">
        <v>0.439</v>
      </c>
      <c r="J791" s="127">
        <v>0.47299999999999998</v>
      </c>
      <c r="K791" s="127">
        <v>0.50600000000000001</v>
      </c>
      <c r="L791" s="127">
        <v>0.54</v>
      </c>
      <c r="M791" s="127">
        <v>0.60699999999999998</v>
      </c>
      <c r="N791" s="127">
        <v>0.71</v>
      </c>
      <c r="O791" s="127">
        <v>0.81100000000000005</v>
      </c>
      <c r="P791" s="127">
        <v>0.91200000000000003</v>
      </c>
      <c r="Q791" s="128">
        <v>1.0129999999999999</v>
      </c>
    </row>
    <row r="792" spans="1:19" x14ac:dyDescent="0.3">
      <c r="A792" s="306"/>
      <c r="B792" s="125" t="s">
        <v>806</v>
      </c>
      <c r="C792" s="127">
        <v>0.245</v>
      </c>
      <c r="D792" s="127">
        <v>0.27700000000000002</v>
      </c>
      <c r="E792" s="127">
        <v>0.34699999999999998</v>
      </c>
      <c r="F792" s="127">
        <v>0.437</v>
      </c>
      <c r="G792" s="127">
        <v>0.50600000000000001</v>
      </c>
      <c r="H792" s="127">
        <v>0.60699999999999998</v>
      </c>
      <c r="I792" s="127">
        <v>0.65900000000000003</v>
      </c>
      <c r="J792" s="127">
        <v>0.71</v>
      </c>
      <c r="K792" s="127">
        <v>0.75900000000000001</v>
      </c>
      <c r="L792" s="127">
        <v>0.81</v>
      </c>
      <c r="M792" s="127">
        <v>0.91100000000000003</v>
      </c>
      <c r="N792" s="127">
        <v>1.0649999999999999</v>
      </c>
      <c r="O792" s="127">
        <v>1.2170000000000001</v>
      </c>
      <c r="P792" s="127">
        <v>1.369</v>
      </c>
      <c r="Q792" s="128">
        <v>1.5209999999999999</v>
      </c>
    </row>
    <row r="793" spans="1:19" x14ac:dyDescent="0.3">
      <c r="A793" s="307"/>
      <c r="B793" s="125" t="s">
        <v>807</v>
      </c>
      <c r="C793" s="127">
        <v>0.245</v>
      </c>
      <c r="D793" s="127">
        <v>0.27700000000000002</v>
      </c>
      <c r="E793" s="127">
        <v>0.34699999999999998</v>
      </c>
      <c r="F793" s="127">
        <v>0.437</v>
      </c>
      <c r="G793" s="127">
        <v>0.50600000000000001</v>
      </c>
      <c r="H793" s="127">
        <v>0.60699999999999998</v>
      </c>
      <c r="I793" s="127">
        <v>0.65900000000000003</v>
      </c>
      <c r="J793" s="127">
        <v>0.71</v>
      </c>
      <c r="K793" s="127">
        <v>0.75900000000000001</v>
      </c>
      <c r="L793" s="127">
        <v>0.81</v>
      </c>
      <c r="M793" s="127">
        <v>0.91100000000000003</v>
      </c>
      <c r="N793" s="127">
        <v>1.0649999999999999</v>
      </c>
      <c r="O793" s="127">
        <v>1.2170000000000001</v>
      </c>
      <c r="P793" s="127">
        <v>1.369</v>
      </c>
      <c r="Q793" s="128">
        <v>1.5209999999999999</v>
      </c>
    </row>
    <row r="794" spans="1:19" ht="15" customHeight="1" thickBot="1" x14ac:dyDescent="0.35">
      <c r="A794" s="297" t="s">
        <v>810</v>
      </c>
      <c r="B794" s="297"/>
      <c r="C794" s="297"/>
      <c r="D794" s="297"/>
      <c r="E794" s="297"/>
      <c r="F794" s="297"/>
      <c r="G794" s="297"/>
      <c r="H794" s="297"/>
      <c r="I794" s="297"/>
      <c r="J794" s="297"/>
      <c r="K794" s="297"/>
      <c r="L794" s="297"/>
      <c r="M794" s="297"/>
      <c r="N794" s="297"/>
      <c r="O794" s="297"/>
      <c r="P794" s="297"/>
      <c r="Q794" s="297"/>
    </row>
    <row r="795" spans="1:19" x14ac:dyDescent="0.3">
      <c r="A795" s="308" t="s">
        <v>799</v>
      </c>
      <c r="B795" s="113" t="s">
        <v>800</v>
      </c>
      <c r="C795" s="115"/>
      <c r="D795" s="115">
        <v>0.41299999999999998</v>
      </c>
      <c r="E795" s="115">
        <v>0.53100000000000003</v>
      </c>
      <c r="F795" s="115">
        <v>0.65900000000000003</v>
      </c>
      <c r="G795" s="115">
        <v>0.76100000000000001</v>
      </c>
      <c r="H795" s="115">
        <v>0.91500000000000004</v>
      </c>
      <c r="I795" s="115">
        <v>0.99099999999999999</v>
      </c>
      <c r="J795" s="115">
        <v>1.0660000000000001</v>
      </c>
      <c r="K795" s="115">
        <v>1.1419999999999999</v>
      </c>
      <c r="L795" s="115">
        <v>1.2170000000000001</v>
      </c>
      <c r="M795" s="115">
        <v>1.371</v>
      </c>
      <c r="N795" s="115">
        <v>1.601</v>
      </c>
      <c r="O795" s="115">
        <v>1.827</v>
      </c>
      <c r="P795" s="115">
        <v>2.0569999999999999</v>
      </c>
      <c r="Q795" s="116">
        <v>2.2869999999999999</v>
      </c>
      <c r="S795" s="182"/>
    </row>
    <row r="796" spans="1:19" x14ac:dyDescent="0.3">
      <c r="A796" s="309"/>
      <c r="B796" s="117" t="s">
        <v>801</v>
      </c>
      <c r="C796" s="119"/>
      <c r="D796" s="119">
        <v>0.28899999999999998</v>
      </c>
      <c r="E796" s="119">
        <v>0.371</v>
      </c>
      <c r="F796" s="119">
        <v>0.46100000000000002</v>
      </c>
      <c r="G796" s="119">
        <v>0.53300000000000003</v>
      </c>
      <c r="H796" s="119">
        <v>0.64</v>
      </c>
      <c r="I796" s="119">
        <v>0.69299999999999995</v>
      </c>
      <c r="J796" s="119">
        <v>0.746</v>
      </c>
      <c r="K796" s="119">
        <v>0.79900000000000004</v>
      </c>
      <c r="L796" s="119">
        <v>0.85299999999999998</v>
      </c>
      <c r="M796" s="119">
        <v>0.96</v>
      </c>
      <c r="N796" s="119">
        <v>1.1200000000000001</v>
      </c>
      <c r="O796" s="119">
        <v>1.28</v>
      </c>
      <c r="P796" s="119">
        <v>1.44</v>
      </c>
      <c r="Q796" s="120">
        <v>1.6</v>
      </c>
      <c r="S796" s="182"/>
    </row>
    <row r="797" spans="1:19" x14ac:dyDescent="0.3">
      <c r="A797" s="309"/>
      <c r="B797" s="117" t="s">
        <v>802</v>
      </c>
      <c r="C797" s="119"/>
      <c r="D797" s="119">
        <v>0.14499999999999999</v>
      </c>
      <c r="E797" s="119">
        <v>0.185</v>
      </c>
      <c r="F797" s="119">
        <v>0.23100000000000001</v>
      </c>
      <c r="G797" s="119">
        <v>0.26700000000000002</v>
      </c>
      <c r="H797" s="119">
        <v>0.32</v>
      </c>
      <c r="I797" s="119">
        <v>0.34599999999999997</v>
      </c>
      <c r="J797" s="119">
        <v>0.374</v>
      </c>
      <c r="K797" s="119">
        <v>0.4</v>
      </c>
      <c r="L797" s="119">
        <v>0.42599999999999999</v>
      </c>
      <c r="M797" s="119">
        <v>0.48</v>
      </c>
      <c r="N797" s="119">
        <v>0.56000000000000005</v>
      </c>
      <c r="O797" s="119">
        <v>0.64</v>
      </c>
      <c r="P797" s="119">
        <v>0.72</v>
      </c>
      <c r="Q797" s="120">
        <v>0.8</v>
      </c>
      <c r="S797" s="182"/>
    </row>
    <row r="798" spans="1:19" ht="24" x14ac:dyDescent="0.3">
      <c r="A798" s="309"/>
      <c r="B798" s="117" t="s">
        <v>803</v>
      </c>
      <c r="C798" s="119"/>
      <c r="D798" s="119">
        <v>0.14499999999999999</v>
      </c>
      <c r="E798" s="119">
        <v>0.185</v>
      </c>
      <c r="F798" s="119">
        <v>0.23100000000000001</v>
      </c>
      <c r="G798" s="119">
        <v>0.26700000000000002</v>
      </c>
      <c r="H798" s="119">
        <v>0.32</v>
      </c>
      <c r="I798" s="119">
        <v>0.34599999999999997</v>
      </c>
      <c r="J798" s="119">
        <v>0.374</v>
      </c>
      <c r="K798" s="119">
        <v>0.4</v>
      </c>
      <c r="L798" s="119">
        <v>0.42599999999999999</v>
      </c>
      <c r="M798" s="119">
        <v>0.48</v>
      </c>
      <c r="N798" s="119">
        <v>0.56000000000000005</v>
      </c>
      <c r="O798" s="119">
        <v>0.64</v>
      </c>
      <c r="P798" s="119">
        <v>0.72</v>
      </c>
      <c r="Q798" s="120">
        <v>0.8</v>
      </c>
      <c r="S798" s="182"/>
    </row>
    <row r="799" spans="1:19" x14ac:dyDescent="0.3">
      <c r="A799" s="309"/>
      <c r="B799" s="117" t="s">
        <v>804</v>
      </c>
      <c r="C799" s="119"/>
      <c r="D799" s="119">
        <v>0.14499999999999999</v>
      </c>
      <c r="E799" s="119">
        <v>0.185</v>
      </c>
      <c r="F799" s="119">
        <v>0.23100000000000001</v>
      </c>
      <c r="G799" s="119">
        <v>0.26700000000000002</v>
      </c>
      <c r="H799" s="119">
        <v>0.32</v>
      </c>
      <c r="I799" s="119">
        <v>0.34599999999999997</v>
      </c>
      <c r="J799" s="119">
        <v>0.374</v>
      </c>
      <c r="K799" s="119">
        <v>0.4</v>
      </c>
      <c r="L799" s="119">
        <v>0.42599999999999999</v>
      </c>
      <c r="M799" s="119">
        <v>0.48</v>
      </c>
      <c r="N799" s="119">
        <v>0.56000000000000005</v>
      </c>
      <c r="O799" s="119">
        <v>0.64</v>
      </c>
      <c r="P799" s="119">
        <v>0.72</v>
      </c>
      <c r="Q799" s="120">
        <v>0.8</v>
      </c>
      <c r="S799" s="182"/>
    </row>
    <row r="800" spans="1:19" x14ac:dyDescent="0.3">
      <c r="A800" s="309"/>
      <c r="B800" s="117" t="s">
        <v>805</v>
      </c>
      <c r="C800" s="119"/>
      <c r="D800" s="119">
        <v>0.41299999999999998</v>
      </c>
      <c r="E800" s="119">
        <v>0.52900000000000003</v>
      </c>
      <c r="F800" s="119">
        <v>0.65900000000000003</v>
      </c>
      <c r="G800" s="119">
        <v>0.76200000000000001</v>
      </c>
      <c r="H800" s="119">
        <v>0.91400000000000003</v>
      </c>
      <c r="I800" s="119">
        <v>0.99</v>
      </c>
      <c r="J800" s="119">
        <v>1.0660000000000001</v>
      </c>
      <c r="K800" s="119">
        <v>1.1419999999999999</v>
      </c>
      <c r="L800" s="119">
        <v>1.218</v>
      </c>
      <c r="M800" s="119">
        <v>1.371</v>
      </c>
      <c r="N800" s="119">
        <v>1.6</v>
      </c>
      <c r="O800" s="119">
        <v>1.829</v>
      </c>
      <c r="P800" s="119">
        <v>2.0579999999999998</v>
      </c>
      <c r="Q800" s="120">
        <v>2.286</v>
      </c>
      <c r="S800" s="182"/>
    </row>
    <row r="801" spans="1:19" x14ac:dyDescent="0.3">
      <c r="A801" s="309"/>
      <c r="B801" s="117" t="s">
        <v>806</v>
      </c>
      <c r="C801" s="119"/>
      <c r="D801" s="119">
        <v>0.62</v>
      </c>
      <c r="E801" s="119">
        <v>0.79400000000000004</v>
      </c>
      <c r="F801" s="119">
        <v>0.98799999999999999</v>
      </c>
      <c r="G801" s="119">
        <v>1.143</v>
      </c>
      <c r="H801" s="119">
        <v>1.371</v>
      </c>
      <c r="I801" s="119">
        <v>1.486</v>
      </c>
      <c r="J801" s="119">
        <v>1.599</v>
      </c>
      <c r="K801" s="119">
        <v>1.7130000000000001</v>
      </c>
      <c r="L801" s="119">
        <v>1.8280000000000001</v>
      </c>
      <c r="M801" s="119">
        <v>2.0569999999999999</v>
      </c>
      <c r="N801" s="119">
        <v>2.4</v>
      </c>
      <c r="O801" s="119">
        <v>2.7429999999999999</v>
      </c>
      <c r="P801" s="119">
        <v>3.0859999999999999</v>
      </c>
      <c r="Q801" s="120">
        <v>3.4279999999999999</v>
      </c>
      <c r="S801" s="182"/>
    </row>
    <row r="802" spans="1:19" ht="15" thickBot="1" x14ac:dyDescent="0.35">
      <c r="A802" s="310"/>
      <c r="B802" s="117" t="s">
        <v>807</v>
      </c>
      <c r="C802" s="119"/>
      <c r="D802" s="119">
        <v>0.62</v>
      </c>
      <c r="E802" s="119">
        <v>0.79400000000000004</v>
      </c>
      <c r="F802" s="119">
        <v>0.98799999999999999</v>
      </c>
      <c r="G802" s="119">
        <v>1.143</v>
      </c>
      <c r="H802" s="119">
        <v>1.371</v>
      </c>
      <c r="I802" s="119">
        <v>1.486</v>
      </c>
      <c r="J802" s="119">
        <v>1.599</v>
      </c>
      <c r="K802" s="119">
        <v>1.7130000000000001</v>
      </c>
      <c r="L802" s="119">
        <v>1.8280000000000001</v>
      </c>
      <c r="M802" s="119">
        <v>2.0569999999999999</v>
      </c>
      <c r="N802" s="119">
        <v>2.4</v>
      </c>
      <c r="O802" s="119">
        <v>2.7429999999999999</v>
      </c>
      <c r="P802" s="119">
        <v>3.0859999999999999</v>
      </c>
      <c r="Q802" s="120">
        <v>3.4279999999999999</v>
      </c>
      <c r="S802" s="182"/>
    </row>
    <row r="803" spans="1:19" ht="15" customHeight="1" x14ac:dyDescent="0.3">
      <c r="A803" s="305" t="s">
        <v>808</v>
      </c>
      <c r="B803" s="121" t="s">
        <v>800</v>
      </c>
      <c r="C803" s="123"/>
      <c r="D803" s="123">
        <v>0.22600000000000001</v>
      </c>
      <c r="E803" s="123">
        <v>0.29199999999999998</v>
      </c>
      <c r="F803" s="123">
        <v>0.36099999999999999</v>
      </c>
      <c r="G803" s="123">
        <v>0.42</v>
      </c>
      <c r="H803" s="123">
        <v>0.503</v>
      </c>
      <c r="I803" s="123">
        <v>0.54400000000000004</v>
      </c>
      <c r="J803" s="123">
        <v>0.58499999999999996</v>
      </c>
      <c r="K803" s="123">
        <v>0.627</v>
      </c>
      <c r="L803" s="123">
        <v>0.66800000000000004</v>
      </c>
      <c r="M803" s="123">
        <v>0.753</v>
      </c>
      <c r="N803" s="123">
        <v>0.879</v>
      </c>
      <c r="O803" s="123">
        <v>1.0029999999999999</v>
      </c>
      <c r="P803" s="123">
        <v>1.129</v>
      </c>
      <c r="Q803" s="124">
        <v>1.2549999999999999</v>
      </c>
    </row>
    <row r="804" spans="1:19" x14ac:dyDescent="0.3">
      <c r="A804" s="306"/>
      <c r="B804" s="125" t="s">
        <v>801</v>
      </c>
      <c r="C804" s="127"/>
      <c r="D804" s="127">
        <v>0.159</v>
      </c>
      <c r="E804" s="127">
        <v>0.20399999999999999</v>
      </c>
      <c r="F804" s="127">
        <v>0.254</v>
      </c>
      <c r="G804" s="127">
        <v>0.29299999999999998</v>
      </c>
      <c r="H804" s="127">
        <v>0.35199999999999998</v>
      </c>
      <c r="I804" s="127">
        <v>0.38100000000000001</v>
      </c>
      <c r="J804" s="127">
        <v>0.41</v>
      </c>
      <c r="K804" s="127">
        <v>0.439</v>
      </c>
      <c r="L804" s="127">
        <v>0.46800000000000003</v>
      </c>
      <c r="M804" s="127">
        <v>0.52700000000000002</v>
      </c>
      <c r="N804" s="127">
        <v>0.61599999999999999</v>
      </c>
      <c r="O804" s="127">
        <v>0.70299999999999996</v>
      </c>
      <c r="P804" s="127">
        <v>0.79100000000000004</v>
      </c>
      <c r="Q804" s="128">
        <v>0.88</v>
      </c>
    </row>
    <row r="805" spans="1:19" x14ac:dyDescent="0.3">
      <c r="A805" s="306"/>
      <c r="B805" s="125" t="s">
        <v>802</v>
      </c>
      <c r="C805" s="127"/>
      <c r="D805" s="127">
        <v>0.08</v>
      </c>
      <c r="E805" s="127">
        <v>0.10199999999999999</v>
      </c>
      <c r="F805" s="127">
        <v>0.127</v>
      </c>
      <c r="G805" s="127">
        <v>0.14699999999999999</v>
      </c>
      <c r="H805" s="127">
        <v>0.17599999999999999</v>
      </c>
      <c r="I805" s="127">
        <v>0.191</v>
      </c>
      <c r="J805" s="127">
        <v>0.20599999999999999</v>
      </c>
      <c r="K805" s="127">
        <v>0.22</v>
      </c>
      <c r="L805" s="127">
        <v>0.23499999999999999</v>
      </c>
      <c r="M805" s="127">
        <v>0.26400000000000001</v>
      </c>
      <c r="N805" s="127">
        <v>0.309</v>
      </c>
      <c r="O805" s="127">
        <v>0.35199999999999998</v>
      </c>
      <c r="P805" s="127">
        <v>0.39700000000000002</v>
      </c>
      <c r="Q805" s="128">
        <v>0.441</v>
      </c>
    </row>
    <row r="806" spans="1:19" ht="24" x14ac:dyDescent="0.3">
      <c r="A806" s="306"/>
      <c r="B806" s="125" t="s">
        <v>803</v>
      </c>
      <c r="C806" s="127"/>
      <c r="D806" s="127">
        <v>0.08</v>
      </c>
      <c r="E806" s="127">
        <v>0.10199999999999999</v>
      </c>
      <c r="F806" s="127">
        <v>0.127</v>
      </c>
      <c r="G806" s="127">
        <v>0.14699999999999999</v>
      </c>
      <c r="H806" s="127">
        <v>0.17599999999999999</v>
      </c>
      <c r="I806" s="127">
        <v>0.191</v>
      </c>
      <c r="J806" s="127">
        <v>0.20599999999999999</v>
      </c>
      <c r="K806" s="127">
        <v>0.22</v>
      </c>
      <c r="L806" s="127">
        <v>0.23499999999999999</v>
      </c>
      <c r="M806" s="127">
        <v>0.26400000000000001</v>
      </c>
      <c r="N806" s="127">
        <v>0.309</v>
      </c>
      <c r="O806" s="127">
        <v>0.35199999999999998</v>
      </c>
      <c r="P806" s="127">
        <v>0.39700000000000002</v>
      </c>
      <c r="Q806" s="128">
        <v>0.441</v>
      </c>
    </row>
    <row r="807" spans="1:19" x14ac:dyDescent="0.3">
      <c r="A807" s="306"/>
      <c r="B807" s="125" t="s">
        <v>804</v>
      </c>
      <c r="C807" s="127"/>
      <c r="D807" s="127">
        <v>0.08</v>
      </c>
      <c r="E807" s="127">
        <v>0.10199999999999999</v>
      </c>
      <c r="F807" s="127">
        <v>0.127</v>
      </c>
      <c r="G807" s="127">
        <v>0.14699999999999999</v>
      </c>
      <c r="H807" s="127">
        <v>0.17599999999999999</v>
      </c>
      <c r="I807" s="127">
        <v>0.191</v>
      </c>
      <c r="J807" s="127">
        <v>0.20599999999999999</v>
      </c>
      <c r="K807" s="127">
        <v>0.22</v>
      </c>
      <c r="L807" s="127">
        <v>0.23499999999999999</v>
      </c>
      <c r="M807" s="127">
        <v>0.26400000000000001</v>
      </c>
      <c r="N807" s="127">
        <v>0.309</v>
      </c>
      <c r="O807" s="127">
        <v>0.35199999999999998</v>
      </c>
      <c r="P807" s="127">
        <v>0.39700000000000002</v>
      </c>
      <c r="Q807" s="128">
        <v>0.441</v>
      </c>
    </row>
    <row r="808" spans="1:19" x14ac:dyDescent="0.3">
      <c r="A808" s="306"/>
      <c r="B808" s="125" t="s">
        <v>805</v>
      </c>
      <c r="C808" s="127"/>
      <c r="D808" s="127">
        <v>0.22700000000000001</v>
      </c>
      <c r="E808" s="127">
        <v>0.29099999999999998</v>
      </c>
      <c r="F808" s="127">
        <v>0.36199999999999999</v>
      </c>
      <c r="G808" s="127">
        <v>0.41899999999999998</v>
      </c>
      <c r="H808" s="127">
        <v>0.503</v>
      </c>
      <c r="I808" s="127">
        <v>0.54400000000000004</v>
      </c>
      <c r="J808" s="127">
        <v>0.58499999999999996</v>
      </c>
      <c r="K808" s="127">
        <v>0.627</v>
      </c>
      <c r="L808" s="127">
        <v>0.66800000000000004</v>
      </c>
      <c r="M808" s="127">
        <v>0.753</v>
      </c>
      <c r="N808" s="127">
        <v>0.879</v>
      </c>
      <c r="O808" s="127">
        <v>1.0029999999999999</v>
      </c>
      <c r="P808" s="127">
        <v>1.129</v>
      </c>
      <c r="Q808" s="128">
        <v>1.2549999999999999</v>
      </c>
    </row>
    <row r="809" spans="1:19" x14ac:dyDescent="0.3">
      <c r="A809" s="306"/>
      <c r="B809" s="125" t="s">
        <v>806</v>
      </c>
      <c r="C809" s="127"/>
      <c r="D809" s="127">
        <v>0.34100000000000003</v>
      </c>
      <c r="E809" s="127">
        <v>0.437</v>
      </c>
      <c r="F809" s="127">
        <v>0.54300000000000004</v>
      </c>
      <c r="G809" s="127">
        <v>0.629</v>
      </c>
      <c r="H809" s="127">
        <v>0.754</v>
      </c>
      <c r="I809" s="127">
        <v>0.81699999999999995</v>
      </c>
      <c r="J809" s="127">
        <v>0.879</v>
      </c>
      <c r="K809" s="127">
        <v>0.94099999999999995</v>
      </c>
      <c r="L809" s="127">
        <v>1.0029999999999999</v>
      </c>
      <c r="M809" s="127">
        <v>1.1299999999999999</v>
      </c>
      <c r="N809" s="127">
        <v>1.32</v>
      </c>
      <c r="O809" s="127">
        <v>1.506</v>
      </c>
      <c r="P809" s="127">
        <v>1.6950000000000001</v>
      </c>
      <c r="Q809" s="128">
        <v>1.885</v>
      </c>
    </row>
    <row r="810" spans="1:19" x14ac:dyDescent="0.3">
      <c r="A810" s="307"/>
      <c r="B810" s="125" t="s">
        <v>807</v>
      </c>
      <c r="C810" s="127"/>
      <c r="D810" s="127">
        <v>0.34100000000000003</v>
      </c>
      <c r="E810" s="127">
        <v>0.437</v>
      </c>
      <c r="F810" s="127">
        <v>0.54300000000000004</v>
      </c>
      <c r="G810" s="127">
        <v>0.629</v>
      </c>
      <c r="H810" s="127">
        <v>0.754</v>
      </c>
      <c r="I810" s="127">
        <v>0.81699999999999995</v>
      </c>
      <c r="J810" s="127">
        <v>0.879</v>
      </c>
      <c r="K810" s="127">
        <v>0.94099999999999995</v>
      </c>
      <c r="L810" s="127">
        <v>1.0029999999999999</v>
      </c>
      <c r="M810" s="127">
        <v>1.1299999999999999</v>
      </c>
      <c r="N810" s="127">
        <v>1.32</v>
      </c>
      <c r="O810" s="127">
        <v>1.506</v>
      </c>
      <c r="P810" s="127">
        <v>1.6950000000000001</v>
      </c>
      <c r="Q810" s="128">
        <v>1.885</v>
      </c>
    </row>
    <row r="811" spans="1:19" ht="15" customHeight="1" thickBot="1" x14ac:dyDescent="0.35">
      <c r="A811" s="297" t="s">
        <v>811</v>
      </c>
      <c r="B811" s="297"/>
      <c r="C811" s="297"/>
      <c r="D811" s="297"/>
      <c r="E811" s="297"/>
      <c r="F811" s="297"/>
      <c r="G811" s="297"/>
      <c r="H811" s="297"/>
      <c r="I811" s="297"/>
      <c r="J811" s="297"/>
      <c r="K811" s="297"/>
      <c r="L811" s="297"/>
      <c r="M811" s="297"/>
      <c r="N811" s="297"/>
      <c r="O811" s="297"/>
      <c r="P811" s="297"/>
      <c r="Q811" s="297"/>
    </row>
    <row r="812" spans="1:19" x14ac:dyDescent="0.3">
      <c r="A812" s="308" t="s">
        <v>799</v>
      </c>
      <c r="B812" s="113" t="s">
        <v>800</v>
      </c>
      <c r="C812" s="115"/>
      <c r="D812" s="115">
        <v>0.57699999999999996</v>
      </c>
      <c r="E812" s="115">
        <v>0.74099999999999999</v>
      </c>
      <c r="F812" s="115">
        <v>0.92200000000000004</v>
      </c>
      <c r="G812" s="115">
        <v>1.0660000000000001</v>
      </c>
      <c r="H812" s="115">
        <v>1.28</v>
      </c>
      <c r="I812" s="115">
        <v>1.3879999999999999</v>
      </c>
      <c r="J812" s="115">
        <v>1.4930000000000001</v>
      </c>
      <c r="K812" s="115">
        <v>1.5980000000000001</v>
      </c>
      <c r="L812" s="115">
        <v>1.706</v>
      </c>
      <c r="M812" s="115">
        <v>1.919</v>
      </c>
      <c r="N812" s="115">
        <v>2.2410000000000001</v>
      </c>
      <c r="O812" s="115">
        <v>2.5590000000000002</v>
      </c>
      <c r="P812" s="115">
        <v>2.8809999999999998</v>
      </c>
      <c r="Q812" s="116">
        <v>3.1989999999999998</v>
      </c>
    </row>
    <row r="813" spans="1:19" x14ac:dyDescent="0.3">
      <c r="A813" s="309"/>
      <c r="B813" s="117" t="s">
        <v>801</v>
      </c>
      <c r="C813" s="119"/>
      <c r="D813" s="119">
        <v>0.40500000000000003</v>
      </c>
      <c r="E813" s="119">
        <v>0.51900000000000002</v>
      </c>
      <c r="F813" s="119">
        <v>0.64500000000000002</v>
      </c>
      <c r="G813" s="119">
        <v>0.747</v>
      </c>
      <c r="H813" s="119">
        <v>0.89600000000000002</v>
      </c>
      <c r="I813" s="119">
        <v>0.97</v>
      </c>
      <c r="J813" s="119">
        <v>1.0449999999999999</v>
      </c>
      <c r="K813" s="119">
        <v>1.119</v>
      </c>
      <c r="L813" s="119">
        <v>1.194</v>
      </c>
      <c r="M813" s="119">
        <v>1.3440000000000001</v>
      </c>
      <c r="N813" s="119">
        <v>1.5680000000000001</v>
      </c>
      <c r="O813" s="119">
        <v>1.792</v>
      </c>
      <c r="P813" s="119">
        <v>2.016</v>
      </c>
      <c r="Q813" s="120">
        <v>2.2400000000000002</v>
      </c>
    </row>
    <row r="814" spans="1:19" x14ac:dyDescent="0.3">
      <c r="A814" s="309"/>
      <c r="B814" s="117" t="s">
        <v>802</v>
      </c>
      <c r="C814" s="119"/>
      <c r="D814" s="119">
        <v>0.20200000000000001</v>
      </c>
      <c r="E814" s="119">
        <v>0.25900000000000001</v>
      </c>
      <c r="F814" s="119">
        <v>0.32300000000000001</v>
      </c>
      <c r="G814" s="119">
        <v>0.373</v>
      </c>
      <c r="H814" s="119">
        <v>0.44800000000000001</v>
      </c>
      <c r="I814" s="119">
        <v>0.48499999999999999</v>
      </c>
      <c r="J814" s="119">
        <v>0.52300000000000002</v>
      </c>
      <c r="K814" s="119">
        <v>0.56000000000000005</v>
      </c>
      <c r="L814" s="119">
        <v>0.59699999999999998</v>
      </c>
      <c r="M814" s="119">
        <v>0.67200000000000004</v>
      </c>
      <c r="N814" s="119">
        <v>0.78400000000000003</v>
      </c>
      <c r="O814" s="119">
        <v>0.89600000000000002</v>
      </c>
      <c r="P814" s="119">
        <v>1.008</v>
      </c>
      <c r="Q814" s="120">
        <v>1.1200000000000001</v>
      </c>
    </row>
    <row r="815" spans="1:19" ht="24" x14ac:dyDescent="0.3">
      <c r="A815" s="309"/>
      <c r="B815" s="117" t="s">
        <v>803</v>
      </c>
      <c r="C815" s="119"/>
      <c r="D815" s="119">
        <v>0.20200000000000001</v>
      </c>
      <c r="E815" s="119">
        <v>0.25900000000000001</v>
      </c>
      <c r="F815" s="119">
        <v>0.32300000000000001</v>
      </c>
      <c r="G815" s="119">
        <v>0.373</v>
      </c>
      <c r="H815" s="119">
        <v>0.44800000000000001</v>
      </c>
      <c r="I815" s="119">
        <v>0.48499999999999999</v>
      </c>
      <c r="J815" s="119">
        <v>0.52300000000000002</v>
      </c>
      <c r="K815" s="119">
        <v>0.56000000000000005</v>
      </c>
      <c r="L815" s="119">
        <v>0.59699999999999998</v>
      </c>
      <c r="M815" s="119">
        <v>0.67200000000000004</v>
      </c>
      <c r="N815" s="119">
        <v>0.78400000000000003</v>
      </c>
      <c r="O815" s="119">
        <v>0.89600000000000002</v>
      </c>
      <c r="P815" s="119">
        <v>1.008</v>
      </c>
      <c r="Q815" s="120">
        <v>1.1200000000000001</v>
      </c>
    </row>
    <row r="816" spans="1:19" x14ac:dyDescent="0.3">
      <c r="A816" s="309"/>
      <c r="B816" s="117" t="s">
        <v>804</v>
      </c>
      <c r="C816" s="119"/>
      <c r="D816" s="119">
        <v>0.20200000000000001</v>
      </c>
      <c r="E816" s="119">
        <v>0.25900000000000001</v>
      </c>
      <c r="F816" s="119">
        <v>0.32300000000000001</v>
      </c>
      <c r="G816" s="119">
        <v>0.373</v>
      </c>
      <c r="H816" s="119">
        <v>0.44800000000000001</v>
      </c>
      <c r="I816" s="119">
        <v>0.48499999999999999</v>
      </c>
      <c r="J816" s="119">
        <v>0.52300000000000002</v>
      </c>
      <c r="K816" s="119">
        <v>0.56000000000000005</v>
      </c>
      <c r="L816" s="119">
        <v>0.59699999999999998</v>
      </c>
      <c r="M816" s="119">
        <v>0.67200000000000004</v>
      </c>
      <c r="N816" s="119">
        <v>0.78400000000000003</v>
      </c>
      <c r="O816" s="119">
        <v>0.89600000000000002</v>
      </c>
      <c r="P816" s="119">
        <v>1.008</v>
      </c>
      <c r="Q816" s="120">
        <v>1.1200000000000001</v>
      </c>
    </row>
    <row r="817" spans="1:17" x14ac:dyDescent="0.3">
      <c r="A817" s="309"/>
      <c r="B817" s="117" t="s">
        <v>805</v>
      </c>
      <c r="C817" s="119"/>
      <c r="D817" s="119">
        <v>0.57799999999999996</v>
      </c>
      <c r="E817" s="119">
        <v>0.74099999999999999</v>
      </c>
      <c r="F817" s="119">
        <v>0.92200000000000004</v>
      </c>
      <c r="G817" s="119">
        <v>1.0669999999999999</v>
      </c>
      <c r="H817" s="119">
        <v>1.28</v>
      </c>
      <c r="I817" s="119">
        <v>1.387</v>
      </c>
      <c r="J817" s="119">
        <v>1.4930000000000001</v>
      </c>
      <c r="K817" s="119">
        <v>1.599</v>
      </c>
      <c r="L817" s="119">
        <v>1.706</v>
      </c>
      <c r="M817" s="119">
        <v>1.92</v>
      </c>
      <c r="N817" s="119">
        <v>2.2400000000000002</v>
      </c>
      <c r="O817" s="119">
        <v>2.56</v>
      </c>
      <c r="P817" s="119">
        <v>2.8809999999999998</v>
      </c>
      <c r="Q817" s="120">
        <v>3.2</v>
      </c>
    </row>
    <row r="818" spans="1:17" x14ac:dyDescent="0.3">
      <c r="A818" s="309"/>
      <c r="B818" s="117" t="s">
        <v>806</v>
      </c>
      <c r="C818" s="119"/>
      <c r="D818" s="119">
        <v>0.86799999999999999</v>
      </c>
      <c r="E818" s="119">
        <v>1.1120000000000001</v>
      </c>
      <c r="F818" s="119">
        <v>1.383</v>
      </c>
      <c r="G818" s="119">
        <v>1.6</v>
      </c>
      <c r="H818" s="119">
        <v>1.92</v>
      </c>
      <c r="I818" s="119">
        <v>2.08</v>
      </c>
      <c r="J818" s="119">
        <v>2.2389999999999999</v>
      </c>
      <c r="K818" s="119">
        <v>2.3980000000000001</v>
      </c>
      <c r="L818" s="119">
        <v>2.5590000000000002</v>
      </c>
      <c r="M818" s="119">
        <v>2.88</v>
      </c>
      <c r="N818" s="119">
        <v>3.36</v>
      </c>
      <c r="O818" s="119">
        <v>3.84</v>
      </c>
      <c r="P818" s="119">
        <v>4.32</v>
      </c>
      <c r="Q818" s="120">
        <v>4.7990000000000004</v>
      </c>
    </row>
    <row r="819" spans="1:17" ht="15" thickBot="1" x14ac:dyDescent="0.35">
      <c r="A819" s="310"/>
      <c r="B819" s="117" t="s">
        <v>807</v>
      </c>
      <c r="C819" s="119"/>
      <c r="D819" s="119">
        <v>0.86799999999999999</v>
      </c>
      <c r="E819" s="119">
        <v>1.1120000000000001</v>
      </c>
      <c r="F819" s="119">
        <v>1.383</v>
      </c>
      <c r="G819" s="119">
        <v>1.6</v>
      </c>
      <c r="H819" s="119">
        <v>1.92</v>
      </c>
      <c r="I819" s="119">
        <v>2.08</v>
      </c>
      <c r="J819" s="119">
        <v>2.2389999999999999</v>
      </c>
      <c r="K819" s="119">
        <v>2.3980000000000001</v>
      </c>
      <c r="L819" s="119">
        <v>2.5590000000000002</v>
      </c>
      <c r="M819" s="119">
        <v>2.88</v>
      </c>
      <c r="N819" s="119">
        <v>3.36</v>
      </c>
      <c r="O819" s="119">
        <v>3.84</v>
      </c>
      <c r="P819" s="119">
        <v>4.32</v>
      </c>
      <c r="Q819" s="120">
        <v>4.7990000000000004</v>
      </c>
    </row>
    <row r="820" spans="1:17" ht="15" customHeight="1" x14ac:dyDescent="0.3">
      <c r="A820" s="305" t="s">
        <v>808</v>
      </c>
      <c r="B820" s="121" t="s">
        <v>800</v>
      </c>
      <c r="C820" s="123"/>
      <c r="D820" s="123">
        <v>0.318</v>
      </c>
      <c r="E820" s="123">
        <v>0.40699999999999997</v>
      </c>
      <c r="F820" s="123">
        <v>0.50900000000000001</v>
      </c>
      <c r="G820" s="123">
        <v>0.58699999999999997</v>
      </c>
      <c r="H820" s="123">
        <v>0.70399999999999996</v>
      </c>
      <c r="I820" s="123">
        <v>0.76400000000000001</v>
      </c>
      <c r="J820" s="123">
        <v>0.82199999999999995</v>
      </c>
      <c r="K820" s="123">
        <v>0.88</v>
      </c>
      <c r="L820" s="123">
        <v>0.93899999999999995</v>
      </c>
      <c r="M820" s="123">
        <v>1.0569999999999999</v>
      </c>
      <c r="N820" s="123">
        <v>1.234</v>
      </c>
      <c r="O820" s="123">
        <v>1.409</v>
      </c>
      <c r="P820" s="123">
        <v>1.5860000000000001</v>
      </c>
      <c r="Q820" s="124">
        <v>1.7609999999999999</v>
      </c>
    </row>
    <row r="821" spans="1:17" x14ac:dyDescent="0.3">
      <c r="A821" s="306"/>
      <c r="B821" s="125" t="s">
        <v>801</v>
      </c>
      <c r="C821" s="127"/>
      <c r="D821" s="127">
        <v>0.223</v>
      </c>
      <c r="E821" s="127">
        <v>0.28499999999999998</v>
      </c>
      <c r="F821" s="127">
        <v>0.35499999999999998</v>
      </c>
      <c r="G821" s="127">
        <v>0.41099999999999998</v>
      </c>
      <c r="H821" s="127">
        <v>0.49299999999999999</v>
      </c>
      <c r="I821" s="127">
        <v>0.53500000000000003</v>
      </c>
      <c r="J821" s="127">
        <v>0.57499999999999996</v>
      </c>
      <c r="K821" s="127">
        <v>0.61599999999999999</v>
      </c>
      <c r="L821" s="127">
        <v>0.65700000000000003</v>
      </c>
      <c r="M821" s="127">
        <v>0.73899999999999999</v>
      </c>
      <c r="N821" s="127">
        <v>0.86299999999999999</v>
      </c>
      <c r="O821" s="127">
        <v>0.98599999999999999</v>
      </c>
      <c r="P821" s="127">
        <v>1.1100000000000001</v>
      </c>
      <c r="Q821" s="128">
        <v>1.232</v>
      </c>
    </row>
    <row r="822" spans="1:17" x14ac:dyDescent="0.3">
      <c r="A822" s="306"/>
      <c r="B822" s="125" t="s">
        <v>802</v>
      </c>
      <c r="C822" s="127"/>
      <c r="D822" s="127">
        <v>0.111</v>
      </c>
      <c r="E822" s="127">
        <v>0.14299999999999999</v>
      </c>
      <c r="F822" s="127">
        <v>0.17699999999999999</v>
      </c>
      <c r="G822" s="127">
        <v>0.20499999999999999</v>
      </c>
      <c r="H822" s="127">
        <v>0.246</v>
      </c>
      <c r="I822" s="127">
        <v>0.26700000000000002</v>
      </c>
      <c r="J822" s="127">
        <v>0.28699999999999998</v>
      </c>
      <c r="K822" s="127">
        <v>0.307</v>
      </c>
      <c r="L822" s="127">
        <v>0.32800000000000001</v>
      </c>
      <c r="M822" s="127">
        <v>0.36899999999999999</v>
      </c>
      <c r="N822" s="127">
        <v>0.43099999999999999</v>
      </c>
      <c r="O822" s="127">
        <v>0.49199999999999999</v>
      </c>
      <c r="P822" s="127">
        <v>0.55400000000000005</v>
      </c>
      <c r="Q822" s="128">
        <v>0.61499999999999999</v>
      </c>
    </row>
    <row r="823" spans="1:17" ht="24" x14ac:dyDescent="0.3">
      <c r="A823" s="306"/>
      <c r="B823" s="125" t="s">
        <v>803</v>
      </c>
      <c r="C823" s="127"/>
      <c r="D823" s="127">
        <v>0.111</v>
      </c>
      <c r="E823" s="127">
        <v>0.14299999999999999</v>
      </c>
      <c r="F823" s="127">
        <v>0.17699999999999999</v>
      </c>
      <c r="G823" s="127">
        <v>0.20499999999999999</v>
      </c>
      <c r="H823" s="127">
        <v>0.246</v>
      </c>
      <c r="I823" s="127">
        <v>0.26700000000000002</v>
      </c>
      <c r="J823" s="127">
        <v>0.28699999999999998</v>
      </c>
      <c r="K823" s="127">
        <v>0.307</v>
      </c>
      <c r="L823" s="127">
        <v>0.32800000000000001</v>
      </c>
      <c r="M823" s="127">
        <v>0.36899999999999999</v>
      </c>
      <c r="N823" s="127">
        <v>0.43099999999999999</v>
      </c>
      <c r="O823" s="127">
        <v>0.49199999999999999</v>
      </c>
      <c r="P823" s="127">
        <v>0.55400000000000005</v>
      </c>
      <c r="Q823" s="128">
        <v>0.61499999999999999</v>
      </c>
    </row>
    <row r="824" spans="1:17" x14ac:dyDescent="0.3">
      <c r="A824" s="306"/>
      <c r="B824" s="125" t="s">
        <v>804</v>
      </c>
      <c r="C824" s="127"/>
      <c r="D824" s="127">
        <v>0.111</v>
      </c>
      <c r="E824" s="127">
        <v>0.14299999999999999</v>
      </c>
      <c r="F824" s="127">
        <v>0.17699999999999999</v>
      </c>
      <c r="G824" s="127">
        <v>0.20499999999999999</v>
      </c>
      <c r="H824" s="127">
        <v>0.246</v>
      </c>
      <c r="I824" s="127">
        <v>0.26700000000000002</v>
      </c>
      <c r="J824" s="127">
        <v>0.28699999999999998</v>
      </c>
      <c r="K824" s="127">
        <v>0.307</v>
      </c>
      <c r="L824" s="127">
        <v>0.32800000000000001</v>
      </c>
      <c r="M824" s="127">
        <v>0.36899999999999999</v>
      </c>
      <c r="N824" s="127">
        <v>0.43099999999999999</v>
      </c>
      <c r="O824" s="127">
        <v>0.49199999999999999</v>
      </c>
      <c r="P824" s="127">
        <v>0.55400000000000005</v>
      </c>
      <c r="Q824" s="128">
        <v>0.61499999999999999</v>
      </c>
    </row>
    <row r="825" spans="1:17" x14ac:dyDescent="0.3">
      <c r="A825" s="306"/>
      <c r="B825" s="125" t="s">
        <v>805</v>
      </c>
      <c r="C825" s="127"/>
      <c r="D825" s="127">
        <v>0.318</v>
      </c>
      <c r="E825" s="127">
        <v>0.40799999999999997</v>
      </c>
      <c r="F825" s="127">
        <v>0.50700000000000001</v>
      </c>
      <c r="G825" s="127">
        <v>0.58699999999999997</v>
      </c>
      <c r="H825" s="127">
        <v>0.70399999999999996</v>
      </c>
      <c r="I825" s="127">
        <v>0.76400000000000001</v>
      </c>
      <c r="J825" s="127">
        <v>0.82199999999999995</v>
      </c>
      <c r="K825" s="127">
        <v>0.879</v>
      </c>
      <c r="L825" s="127">
        <v>0.93899999999999995</v>
      </c>
      <c r="M825" s="127">
        <v>1.056</v>
      </c>
      <c r="N825" s="127">
        <v>1.2330000000000001</v>
      </c>
      <c r="O825" s="127">
        <v>1.4079999999999999</v>
      </c>
      <c r="P825" s="127">
        <v>1.585</v>
      </c>
      <c r="Q825" s="128">
        <v>1.76</v>
      </c>
    </row>
    <row r="826" spans="1:17" x14ac:dyDescent="0.3">
      <c r="A826" s="306"/>
      <c r="B826" s="125" t="s">
        <v>806</v>
      </c>
      <c r="C826" s="127"/>
      <c r="D826" s="127">
        <v>0.47699999999999998</v>
      </c>
      <c r="E826" s="127">
        <v>0.61099999999999999</v>
      </c>
      <c r="F826" s="127">
        <v>0.76100000000000001</v>
      </c>
      <c r="G826" s="127">
        <v>0.88</v>
      </c>
      <c r="H826" s="127">
        <v>1.056</v>
      </c>
      <c r="I826" s="127">
        <v>1.145</v>
      </c>
      <c r="J826" s="127">
        <v>1.232</v>
      </c>
      <c r="K826" s="127">
        <v>1.319</v>
      </c>
      <c r="L826" s="127">
        <v>1.4079999999999999</v>
      </c>
      <c r="M826" s="127">
        <v>1.5840000000000001</v>
      </c>
      <c r="N826" s="127">
        <v>1.849</v>
      </c>
      <c r="O826" s="127">
        <v>2.1120000000000001</v>
      </c>
      <c r="P826" s="127">
        <v>2.3769999999999998</v>
      </c>
      <c r="Q826" s="128">
        <v>2.64</v>
      </c>
    </row>
    <row r="827" spans="1:17" ht="15" thickBot="1" x14ac:dyDescent="0.35">
      <c r="A827" s="307"/>
      <c r="B827" s="125" t="s">
        <v>807</v>
      </c>
      <c r="C827" s="127"/>
      <c r="D827" s="127">
        <v>0.47699999999999998</v>
      </c>
      <c r="E827" s="127">
        <v>0.61099999999999999</v>
      </c>
      <c r="F827" s="127">
        <v>0.76100000000000001</v>
      </c>
      <c r="G827" s="127">
        <v>0.88</v>
      </c>
      <c r="H827" s="127">
        <v>1.056</v>
      </c>
      <c r="I827" s="127">
        <v>1.145</v>
      </c>
      <c r="J827" s="127">
        <v>1.232</v>
      </c>
      <c r="K827" s="127">
        <v>1.319</v>
      </c>
      <c r="L827" s="127">
        <v>1.4079999999999999</v>
      </c>
      <c r="M827" s="127">
        <v>1.5840000000000001</v>
      </c>
      <c r="N827" s="127">
        <v>1.849</v>
      </c>
      <c r="O827" s="127">
        <v>2.1120000000000001</v>
      </c>
      <c r="P827" s="127">
        <v>2.3769999999999998</v>
      </c>
      <c r="Q827" s="128">
        <v>2.64</v>
      </c>
    </row>
    <row r="828" spans="1:17" ht="15" customHeight="1" thickBot="1" x14ac:dyDescent="0.35">
      <c r="A828" s="312" t="s">
        <v>812</v>
      </c>
      <c r="B828" s="313"/>
      <c r="C828" s="313"/>
      <c r="D828" s="313"/>
      <c r="E828" s="313"/>
      <c r="F828" s="313"/>
      <c r="G828" s="313"/>
      <c r="H828" s="313"/>
      <c r="I828" s="313"/>
      <c r="J828" s="313"/>
      <c r="K828" s="313"/>
      <c r="L828" s="313"/>
      <c r="M828" s="313"/>
      <c r="N828" s="313"/>
      <c r="O828" s="313"/>
      <c r="P828" s="313"/>
      <c r="Q828" s="314"/>
    </row>
    <row r="829" spans="1:17" x14ac:dyDescent="0.3">
      <c r="A829" s="308" t="s">
        <v>799</v>
      </c>
      <c r="B829" s="113" t="s">
        <v>800</v>
      </c>
      <c r="C829" s="129">
        <v>0.25900000000000001</v>
      </c>
      <c r="D829" s="129">
        <v>0.315</v>
      </c>
      <c r="E829" s="129">
        <v>0.39700000000000002</v>
      </c>
      <c r="F829" s="129">
        <v>0.50900000000000001</v>
      </c>
      <c r="G829" s="129">
        <v>0.60699999999999998</v>
      </c>
      <c r="H829" s="129">
        <v>0.72699999999999998</v>
      </c>
      <c r="I829" s="129">
        <v>0.78800000000000003</v>
      </c>
      <c r="J829" s="129">
        <v>0.84799999999999998</v>
      </c>
      <c r="K829" s="129">
        <v>0.90800000000000003</v>
      </c>
      <c r="L829" s="129">
        <v>0.96899999999999997</v>
      </c>
      <c r="M829" s="129">
        <v>1.091</v>
      </c>
      <c r="N829" s="129">
        <v>1.2729999999999999</v>
      </c>
      <c r="O829" s="129">
        <v>1.4550000000000001</v>
      </c>
      <c r="P829" s="129">
        <v>1.6359999999999999</v>
      </c>
      <c r="Q829" s="130">
        <v>1.8180000000000001</v>
      </c>
    </row>
    <row r="830" spans="1:17" x14ac:dyDescent="0.3">
      <c r="A830" s="309"/>
      <c r="B830" s="117" t="s">
        <v>801</v>
      </c>
      <c r="C830" s="118">
        <v>0.18099999999999999</v>
      </c>
      <c r="D830" s="118">
        <v>0.22</v>
      </c>
      <c r="E830" s="118">
        <v>0.27700000000000002</v>
      </c>
      <c r="F830" s="118">
        <v>0.35599999999999998</v>
      </c>
      <c r="G830" s="118">
        <v>0.42399999999999999</v>
      </c>
      <c r="H830" s="118">
        <v>0.47899999999999998</v>
      </c>
      <c r="I830" s="118">
        <v>0.50900000000000001</v>
      </c>
      <c r="J830" s="118">
        <v>0.55100000000000005</v>
      </c>
      <c r="K830" s="118">
        <v>0.59399999999999997</v>
      </c>
      <c r="L830" s="118">
        <v>0.63600000000000001</v>
      </c>
      <c r="M830" s="118">
        <v>0.76300000000000001</v>
      </c>
      <c r="N830" s="118">
        <v>0.89100000000000001</v>
      </c>
      <c r="O830" s="118">
        <v>1.018</v>
      </c>
      <c r="P830" s="118">
        <v>1.1459999999999999</v>
      </c>
      <c r="Q830" s="131">
        <v>1.2729999999999999</v>
      </c>
    </row>
    <row r="831" spans="1:17" x14ac:dyDescent="0.3">
      <c r="A831" s="309"/>
      <c r="B831" s="117" t="s">
        <v>802</v>
      </c>
      <c r="C831" s="118">
        <v>0.09</v>
      </c>
      <c r="D831" s="118">
        <v>0.11</v>
      </c>
      <c r="E831" s="118">
        <v>0.13800000000000001</v>
      </c>
      <c r="F831" s="118">
        <v>0.17799999999999999</v>
      </c>
      <c r="G831" s="118">
        <v>0.21199999999999999</v>
      </c>
      <c r="H831" s="118">
        <v>0.255</v>
      </c>
      <c r="I831" s="118">
        <v>0.27600000000000002</v>
      </c>
      <c r="J831" s="118">
        <v>0.29699999999999999</v>
      </c>
      <c r="K831" s="118">
        <v>0.318</v>
      </c>
      <c r="L831" s="118">
        <v>0.33900000000000002</v>
      </c>
      <c r="M831" s="118">
        <v>0.38200000000000001</v>
      </c>
      <c r="N831" s="118">
        <v>0.44500000000000001</v>
      </c>
      <c r="O831" s="118">
        <v>0.50900000000000001</v>
      </c>
      <c r="P831" s="118">
        <v>0.57299999999999995</v>
      </c>
      <c r="Q831" s="131">
        <v>0.63600000000000001</v>
      </c>
    </row>
    <row r="832" spans="1:17" ht="24" x14ac:dyDescent="0.3">
      <c r="A832" s="309"/>
      <c r="B832" s="117" t="s">
        <v>803</v>
      </c>
      <c r="C832" s="118">
        <v>0.09</v>
      </c>
      <c r="D832" s="118">
        <v>0.11</v>
      </c>
      <c r="E832" s="118">
        <v>0.13800000000000001</v>
      </c>
      <c r="F832" s="118">
        <v>0.17799999999999999</v>
      </c>
      <c r="G832" s="118">
        <v>0.21199999999999999</v>
      </c>
      <c r="H832" s="118">
        <v>0.255</v>
      </c>
      <c r="I832" s="118">
        <v>0.27600000000000002</v>
      </c>
      <c r="J832" s="118">
        <v>0.29699999999999999</v>
      </c>
      <c r="K832" s="118">
        <v>0.318</v>
      </c>
      <c r="L832" s="118">
        <v>0.33900000000000002</v>
      </c>
      <c r="M832" s="118">
        <v>0.38200000000000001</v>
      </c>
      <c r="N832" s="118">
        <v>0.44500000000000001</v>
      </c>
      <c r="O832" s="118">
        <v>0.50900000000000001</v>
      </c>
      <c r="P832" s="118">
        <v>0.57299999999999995</v>
      </c>
      <c r="Q832" s="131">
        <v>0.63600000000000001</v>
      </c>
    </row>
    <row r="833" spans="1:19" x14ac:dyDescent="0.3">
      <c r="A833" s="309"/>
      <c r="B833" s="117" t="s">
        <v>804</v>
      </c>
      <c r="C833" s="118">
        <v>0.09</v>
      </c>
      <c r="D833" s="118">
        <v>0.11</v>
      </c>
      <c r="E833" s="118">
        <v>0.13800000000000001</v>
      </c>
      <c r="F833" s="118">
        <v>0.17799999999999999</v>
      </c>
      <c r="G833" s="118">
        <v>0.21199999999999999</v>
      </c>
      <c r="H833" s="118">
        <v>0.255</v>
      </c>
      <c r="I833" s="118">
        <v>0.27600000000000002</v>
      </c>
      <c r="J833" s="118">
        <v>0.29699999999999999</v>
      </c>
      <c r="K833" s="118">
        <v>0.318</v>
      </c>
      <c r="L833" s="118">
        <v>0.33900000000000002</v>
      </c>
      <c r="M833" s="118">
        <v>0.38200000000000001</v>
      </c>
      <c r="N833" s="118">
        <v>0.44500000000000001</v>
      </c>
      <c r="O833" s="118">
        <v>0.50900000000000001</v>
      </c>
      <c r="P833" s="118">
        <v>0.57299999999999995</v>
      </c>
      <c r="Q833" s="131">
        <v>0.63600000000000001</v>
      </c>
    </row>
    <row r="834" spans="1:19" x14ac:dyDescent="0.3">
      <c r="A834" s="309"/>
      <c r="B834" s="117" t="s">
        <v>805</v>
      </c>
      <c r="C834" s="118">
        <v>0.25800000000000001</v>
      </c>
      <c r="D834" s="118">
        <v>0.315</v>
      </c>
      <c r="E834" s="118">
        <v>0.39500000000000002</v>
      </c>
      <c r="F834" s="118">
        <v>0.50900000000000001</v>
      </c>
      <c r="G834" s="118">
        <v>0.60599999999999998</v>
      </c>
      <c r="H834" s="118">
        <v>0.72699999999999998</v>
      </c>
      <c r="I834" s="118">
        <v>0.78800000000000003</v>
      </c>
      <c r="J834" s="118">
        <v>0.84799999999999998</v>
      </c>
      <c r="K834" s="118">
        <v>0.90800000000000003</v>
      </c>
      <c r="L834" s="118">
        <v>0.96899999999999997</v>
      </c>
      <c r="M834" s="118">
        <v>1.091</v>
      </c>
      <c r="N834" s="118">
        <v>1.2729999999999999</v>
      </c>
      <c r="O834" s="118">
        <v>1.4550000000000001</v>
      </c>
      <c r="P834" s="118">
        <v>1.6359999999999999</v>
      </c>
      <c r="Q834" s="131">
        <v>1.8180000000000001</v>
      </c>
    </row>
    <row r="835" spans="1:19" x14ac:dyDescent="0.3">
      <c r="A835" s="309"/>
      <c r="B835" s="117" t="s">
        <v>806</v>
      </c>
      <c r="C835" s="118">
        <v>0.38700000000000001</v>
      </c>
      <c r="D835" s="118">
        <v>0.47199999999999998</v>
      </c>
      <c r="E835" s="118">
        <v>0.59299999999999997</v>
      </c>
      <c r="F835" s="118">
        <v>0.76300000000000001</v>
      </c>
      <c r="G835" s="118">
        <v>0.90900000000000003</v>
      </c>
      <c r="H835" s="118">
        <v>1.091</v>
      </c>
      <c r="I835" s="118">
        <v>1.181</v>
      </c>
      <c r="J835" s="118">
        <v>1.272</v>
      </c>
      <c r="K835" s="118">
        <v>1.363</v>
      </c>
      <c r="L835" s="118">
        <v>1.454</v>
      </c>
      <c r="M835" s="118">
        <v>1.6359999999999999</v>
      </c>
      <c r="N835" s="118">
        <v>1.909</v>
      </c>
      <c r="O835" s="118">
        <v>2.1819999999999999</v>
      </c>
      <c r="P835" s="118">
        <v>2.4550000000000001</v>
      </c>
      <c r="Q835" s="131">
        <v>2.7269999999999999</v>
      </c>
    </row>
    <row r="836" spans="1:19" ht="15" thickBot="1" x14ac:dyDescent="0.35">
      <c r="A836" s="310"/>
      <c r="B836" s="117" t="s">
        <v>807</v>
      </c>
      <c r="C836" s="118">
        <v>0.38700000000000001</v>
      </c>
      <c r="D836" s="118">
        <v>0.47199999999999998</v>
      </c>
      <c r="E836" s="118">
        <v>0.59299999999999997</v>
      </c>
      <c r="F836" s="118">
        <v>0.76300000000000001</v>
      </c>
      <c r="G836" s="118">
        <v>0.90900000000000003</v>
      </c>
      <c r="H836" s="118">
        <v>1.091</v>
      </c>
      <c r="I836" s="118">
        <v>1.181</v>
      </c>
      <c r="J836" s="118">
        <v>1.272</v>
      </c>
      <c r="K836" s="118">
        <v>1.363</v>
      </c>
      <c r="L836" s="118">
        <v>1.454</v>
      </c>
      <c r="M836" s="118">
        <v>1.6359999999999999</v>
      </c>
      <c r="N836" s="118">
        <v>1.909</v>
      </c>
      <c r="O836" s="118">
        <v>2.1819999999999999</v>
      </c>
      <c r="P836" s="118">
        <v>2.4550000000000001</v>
      </c>
      <c r="Q836" s="131">
        <v>2.7269999999999999</v>
      </c>
    </row>
    <row r="837" spans="1:19" ht="15" customHeight="1" x14ac:dyDescent="0.3">
      <c r="A837" s="305" t="s">
        <v>808</v>
      </c>
      <c r="B837" s="121" t="s">
        <v>800</v>
      </c>
      <c r="C837" s="122">
        <v>0.14099999999999999</v>
      </c>
      <c r="D837" s="122">
        <v>0.17399999999999999</v>
      </c>
      <c r="E837" s="122">
        <v>0.217</v>
      </c>
      <c r="F837" s="122">
        <v>0.27900000000000003</v>
      </c>
      <c r="G837" s="122">
        <v>0.33500000000000002</v>
      </c>
      <c r="H837" s="122">
        <v>0.39900000000000002</v>
      </c>
      <c r="I837" s="122">
        <v>0.432</v>
      </c>
      <c r="J837" s="122">
        <v>0.46500000000000002</v>
      </c>
      <c r="K837" s="122">
        <v>0.498</v>
      </c>
      <c r="L837" s="122">
        <v>0.53200000000000003</v>
      </c>
      <c r="M837" s="122">
        <v>0.59899999999999998</v>
      </c>
      <c r="N837" s="122">
        <v>0.69799999999999995</v>
      </c>
      <c r="O837" s="122">
        <v>0.79800000000000004</v>
      </c>
      <c r="P837" s="122">
        <v>0.89800000000000002</v>
      </c>
      <c r="Q837" s="132">
        <v>0.998</v>
      </c>
    </row>
    <row r="838" spans="1:19" x14ac:dyDescent="0.3">
      <c r="A838" s="306"/>
      <c r="B838" s="125" t="s">
        <v>801</v>
      </c>
      <c r="C838" s="126">
        <v>9.9000000000000005E-2</v>
      </c>
      <c r="D838" s="126">
        <v>0.121</v>
      </c>
      <c r="E838" s="126">
        <v>0.152</v>
      </c>
      <c r="F838" s="126">
        <v>0.19600000000000001</v>
      </c>
      <c r="G838" s="126">
        <v>0.23300000000000001</v>
      </c>
      <c r="H838" s="126">
        <v>0.27900000000000003</v>
      </c>
      <c r="I838" s="126">
        <v>0.30299999999999999</v>
      </c>
      <c r="J838" s="126">
        <v>0.32600000000000001</v>
      </c>
      <c r="K838" s="126">
        <v>0.34899999999999998</v>
      </c>
      <c r="L838" s="126">
        <v>0.372</v>
      </c>
      <c r="M838" s="126">
        <v>0.41899999999999998</v>
      </c>
      <c r="N838" s="126">
        <v>0.48899999999999999</v>
      </c>
      <c r="O838" s="126">
        <v>0.55900000000000005</v>
      </c>
      <c r="P838" s="126">
        <v>0.629</v>
      </c>
      <c r="Q838" s="133">
        <v>0.69899999999999995</v>
      </c>
    </row>
    <row r="839" spans="1:19" x14ac:dyDescent="0.3">
      <c r="A839" s="306"/>
      <c r="B839" s="125" t="s">
        <v>802</v>
      </c>
      <c r="C839" s="126">
        <v>0.05</v>
      </c>
      <c r="D839" s="126">
        <v>6.0999999999999999E-2</v>
      </c>
      <c r="E839" s="126">
        <v>7.5999999999999998E-2</v>
      </c>
      <c r="F839" s="126">
        <v>9.8000000000000004E-2</v>
      </c>
      <c r="G839" s="126">
        <v>0.11700000000000001</v>
      </c>
      <c r="H839" s="126">
        <v>0.14000000000000001</v>
      </c>
      <c r="I839" s="126">
        <v>0.151</v>
      </c>
      <c r="J839" s="126">
        <v>0.16300000000000001</v>
      </c>
      <c r="K839" s="126">
        <v>0.17399999999999999</v>
      </c>
      <c r="L839" s="126">
        <v>0.186</v>
      </c>
      <c r="M839" s="126">
        <v>0.21</v>
      </c>
      <c r="N839" s="126">
        <v>0.245</v>
      </c>
      <c r="O839" s="126">
        <v>0.28000000000000003</v>
      </c>
      <c r="P839" s="126">
        <v>0.314</v>
      </c>
      <c r="Q839" s="133">
        <v>0.34899999999999998</v>
      </c>
    </row>
    <row r="840" spans="1:19" ht="24" x14ac:dyDescent="0.3">
      <c r="A840" s="306"/>
      <c r="B840" s="125" t="s">
        <v>803</v>
      </c>
      <c r="C840" s="126">
        <v>0.05</v>
      </c>
      <c r="D840" s="126">
        <v>6.0999999999999999E-2</v>
      </c>
      <c r="E840" s="126">
        <v>7.5999999999999998E-2</v>
      </c>
      <c r="F840" s="126">
        <v>9.8000000000000004E-2</v>
      </c>
      <c r="G840" s="126">
        <v>0.11700000000000001</v>
      </c>
      <c r="H840" s="126">
        <v>0.14000000000000001</v>
      </c>
      <c r="I840" s="126">
        <v>0.151</v>
      </c>
      <c r="J840" s="126">
        <v>0.16300000000000001</v>
      </c>
      <c r="K840" s="126">
        <v>0.17399999999999999</v>
      </c>
      <c r="L840" s="126">
        <v>0.186</v>
      </c>
      <c r="M840" s="126">
        <v>0.21</v>
      </c>
      <c r="N840" s="126">
        <v>0.245</v>
      </c>
      <c r="O840" s="126">
        <v>0.28000000000000003</v>
      </c>
      <c r="P840" s="126">
        <v>0.314</v>
      </c>
      <c r="Q840" s="133">
        <v>0.34899999999999998</v>
      </c>
    </row>
    <row r="841" spans="1:19" x14ac:dyDescent="0.3">
      <c r="A841" s="306"/>
      <c r="B841" s="125" t="s">
        <v>804</v>
      </c>
      <c r="C841" s="126">
        <v>0.05</v>
      </c>
      <c r="D841" s="126">
        <v>6.0999999999999999E-2</v>
      </c>
      <c r="E841" s="126">
        <v>7.5999999999999998E-2</v>
      </c>
      <c r="F841" s="126">
        <v>9.8000000000000004E-2</v>
      </c>
      <c r="G841" s="126">
        <v>0.11700000000000001</v>
      </c>
      <c r="H841" s="126">
        <v>0.14000000000000001</v>
      </c>
      <c r="I841" s="126">
        <v>0.151</v>
      </c>
      <c r="J841" s="126">
        <v>0.16300000000000001</v>
      </c>
      <c r="K841" s="126">
        <v>0.17399999999999999</v>
      </c>
      <c r="L841" s="126">
        <v>0.186</v>
      </c>
      <c r="M841" s="126">
        <v>0.21</v>
      </c>
      <c r="N841" s="126">
        <v>0.245</v>
      </c>
      <c r="O841" s="126">
        <v>0.28000000000000003</v>
      </c>
      <c r="P841" s="126">
        <v>0.314</v>
      </c>
      <c r="Q841" s="133">
        <v>0.34899999999999998</v>
      </c>
    </row>
    <row r="842" spans="1:19" x14ac:dyDescent="0.3">
      <c r="A842" s="306"/>
      <c r="B842" s="125" t="s">
        <v>805</v>
      </c>
      <c r="C842" s="126">
        <v>0.14000000000000001</v>
      </c>
      <c r="D842" s="126">
        <v>0.17399999999999999</v>
      </c>
      <c r="E842" s="126">
        <v>0.216</v>
      </c>
      <c r="F842" s="126">
        <v>0.27900000000000003</v>
      </c>
      <c r="G842" s="126">
        <v>0.33400000000000002</v>
      </c>
      <c r="H842" s="126">
        <v>0.39900000000000002</v>
      </c>
      <c r="I842" s="126">
        <v>0.432</v>
      </c>
      <c r="J842" s="126">
        <v>0.46500000000000002</v>
      </c>
      <c r="K842" s="126">
        <v>0.498</v>
      </c>
      <c r="L842" s="126">
        <v>0.53200000000000003</v>
      </c>
      <c r="M842" s="126">
        <v>0.59899999999999998</v>
      </c>
      <c r="N842" s="126">
        <v>0.69799999999999995</v>
      </c>
      <c r="O842" s="126">
        <v>0.79800000000000004</v>
      </c>
      <c r="P842" s="126">
        <v>0.89800000000000002</v>
      </c>
      <c r="Q842" s="133">
        <v>0.998</v>
      </c>
    </row>
    <row r="843" spans="1:19" x14ac:dyDescent="0.3">
      <c r="A843" s="306"/>
      <c r="B843" s="125" t="s">
        <v>806</v>
      </c>
      <c r="C843" s="126">
        <v>0.21099999999999999</v>
      </c>
      <c r="D843" s="126">
        <v>0.26100000000000001</v>
      </c>
      <c r="E843" s="126">
        <v>0.32400000000000001</v>
      </c>
      <c r="F843" s="126">
        <v>0.41799999999999998</v>
      </c>
      <c r="G843" s="126">
        <v>0.502</v>
      </c>
      <c r="H843" s="126">
        <v>0.59899999999999998</v>
      </c>
      <c r="I843" s="126">
        <v>0.64700000000000002</v>
      </c>
      <c r="J843" s="126">
        <v>0.69799999999999995</v>
      </c>
      <c r="K843" s="126">
        <v>0.748</v>
      </c>
      <c r="L843" s="126">
        <v>0.79800000000000004</v>
      </c>
      <c r="M843" s="126">
        <v>0.89800000000000002</v>
      </c>
      <c r="N843" s="126">
        <v>1.0469999999999999</v>
      </c>
      <c r="O843" s="126">
        <v>1.1970000000000001</v>
      </c>
      <c r="P843" s="126">
        <v>1.3480000000000001</v>
      </c>
      <c r="Q843" s="133">
        <v>1.4970000000000001</v>
      </c>
    </row>
    <row r="844" spans="1:19" ht="15" thickBot="1" x14ac:dyDescent="0.35">
      <c r="A844" s="307"/>
      <c r="B844" s="125" t="s">
        <v>807</v>
      </c>
      <c r="C844" s="126">
        <v>0.21099999999999999</v>
      </c>
      <c r="D844" s="126">
        <v>0.26100000000000001</v>
      </c>
      <c r="E844" s="126">
        <v>0.32400000000000001</v>
      </c>
      <c r="F844" s="126">
        <v>0.41799999999999998</v>
      </c>
      <c r="G844" s="126">
        <v>0.502</v>
      </c>
      <c r="H844" s="126">
        <v>0.59899999999999998</v>
      </c>
      <c r="I844" s="126">
        <v>0.64700000000000002</v>
      </c>
      <c r="J844" s="126">
        <v>0.69799999999999995</v>
      </c>
      <c r="K844" s="126">
        <v>0.748</v>
      </c>
      <c r="L844" s="126">
        <v>0.79800000000000004</v>
      </c>
      <c r="M844" s="126">
        <v>0.89800000000000002</v>
      </c>
      <c r="N844" s="126">
        <v>1.0469999999999999</v>
      </c>
      <c r="O844" s="126">
        <v>1.1970000000000001</v>
      </c>
      <c r="P844" s="126">
        <v>1.3480000000000001</v>
      </c>
      <c r="Q844" s="133">
        <v>1.4970000000000001</v>
      </c>
    </row>
    <row r="845" spans="1:19" ht="15" customHeight="1" thickBot="1" x14ac:dyDescent="0.35">
      <c r="A845" s="312" t="s">
        <v>813</v>
      </c>
      <c r="B845" s="313"/>
      <c r="C845" s="313"/>
      <c r="D845" s="313"/>
      <c r="E845" s="313"/>
      <c r="F845" s="313"/>
      <c r="G845" s="313"/>
      <c r="H845" s="313"/>
      <c r="I845" s="313"/>
      <c r="J845" s="313"/>
      <c r="K845" s="313"/>
      <c r="L845" s="313"/>
      <c r="M845" s="313"/>
      <c r="N845" s="313"/>
      <c r="O845" s="313"/>
      <c r="P845" s="313"/>
      <c r="Q845" s="314"/>
    </row>
    <row r="846" spans="1:19" x14ac:dyDescent="0.3">
      <c r="A846" s="308" t="s">
        <v>799</v>
      </c>
      <c r="B846" s="113" t="s">
        <v>800</v>
      </c>
      <c r="C846" s="129">
        <v>0.371</v>
      </c>
      <c r="D846" s="129">
        <v>0.42</v>
      </c>
      <c r="E846" s="129">
        <v>0.52500000000000002</v>
      </c>
      <c r="F846" s="129">
        <v>0.66300000000000003</v>
      </c>
      <c r="G846" s="129">
        <v>0.76800000000000002</v>
      </c>
      <c r="H846" s="129">
        <v>0.92</v>
      </c>
      <c r="I846" s="129">
        <v>0.997</v>
      </c>
      <c r="J846" s="129">
        <v>1.0740000000000001</v>
      </c>
      <c r="K846" s="129">
        <v>1.1499999999999999</v>
      </c>
      <c r="L846" s="129">
        <v>1.2270000000000001</v>
      </c>
      <c r="M846" s="129">
        <v>1.38</v>
      </c>
      <c r="N846" s="129">
        <v>1.611</v>
      </c>
      <c r="O846" s="129">
        <v>1.841</v>
      </c>
      <c r="P846" s="129">
        <v>2.0710000000000002</v>
      </c>
      <c r="Q846" s="130">
        <v>2.3010000000000002</v>
      </c>
      <c r="S846" s="182"/>
    </row>
    <row r="847" spans="1:19" x14ac:dyDescent="0.3">
      <c r="A847" s="309"/>
      <c r="B847" s="117" t="s">
        <v>801</v>
      </c>
      <c r="C847" s="118">
        <v>0.26</v>
      </c>
      <c r="D847" s="118">
        <v>0.29299999999999998</v>
      </c>
      <c r="E847" s="118">
        <v>0.36799999999999999</v>
      </c>
      <c r="F847" s="118">
        <v>0.46300000000000002</v>
      </c>
      <c r="G847" s="118">
        <v>0.53700000000000003</v>
      </c>
      <c r="H847" s="118">
        <v>0.64400000000000002</v>
      </c>
      <c r="I847" s="118">
        <v>0.69799999999999995</v>
      </c>
      <c r="J847" s="118">
        <v>0.752</v>
      </c>
      <c r="K847" s="118">
        <v>0.80500000000000005</v>
      </c>
      <c r="L847" s="118">
        <v>0.85899999999999999</v>
      </c>
      <c r="M847" s="118">
        <v>0.96599999999999997</v>
      </c>
      <c r="N847" s="118">
        <v>1.1279999999999999</v>
      </c>
      <c r="O847" s="118">
        <v>1.2889999999999999</v>
      </c>
      <c r="P847" s="118">
        <v>1.45</v>
      </c>
      <c r="Q847" s="131">
        <v>1.611</v>
      </c>
      <c r="S847" s="182"/>
    </row>
    <row r="848" spans="1:19" x14ac:dyDescent="0.3">
      <c r="A848" s="309"/>
      <c r="B848" s="117" t="s">
        <v>802</v>
      </c>
      <c r="C848" s="118">
        <v>0.13</v>
      </c>
      <c r="D848" s="118">
        <v>0.14699999999999999</v>
      </c>
      <c r="E848" s="118">
        <v>0.184</v>
      </c>
      <c r="F848" s="118">
        <v>0.23200000000000001</v>
      </c>
      <c r="G848" s="118">
        <v>0.26800000000000002</v>
      </c>
      <c r="H848" s="118">
        <v>0.32200000000000001</v>
      </c>
      <c r="I848" s="118">
        <v>0.34899999999999998</v>
      </c>
      <c r="J848" s="118">
        <v>0.376</v>
      </c>
      <c r="K848" s="118">
        <v>0.40200000000000002</v>
      </c>
      <c r="L848" s="118">
        <v>0.42899999999999999</v>
      </c>
      <c r="M848" s="118">
        <v>0.48299999999999998</v>
      </c>
      <c r="N848" s="118">
        <v>0.56399999999999995</v>
      </c>
      <c r="O848" s="118">
        <v>0.64400000000000002</v>
      </c>
      <c r="P848" s="118">
        <v>0.72499999999999998</v>
      </c>
      <c r="Q848" s="131">
        <v>0.80500000000000005</v>
      </c>
      <c r="S848" s="182"/>
    </row>
    <row r="849" spans="1:19" ht="24" x14ac:dyDescent="0.3">
      <c r="A849" s="309"/>
      <c r="B849" s="117" t="s">
        <v>803</v>
      </c>
      <c r="C849" s="118">
        <v>0.13</v>
      </c>
      <c r="D849" s="118">
        <v>0.14699999999999999</v>
      </c>
      <c r="E849" s="118">
        <v>0.184</v>
      </c>
      <c r="F849" s="118">
        <v>0.23200000000000001</v>
      </c>
      <c r="G849" s="118">
        <v>0.26800000000000002</v>
      </c>
      <c r="H849" s="118">
        <v>0.32200000000000001</v>
      </c>
      <c r="I849" s="118">
        <v>0.34899999999999998</v>
      </c>
      <c r="J849" s="118">
        <v>0.376</v>
      </c>
      <c r="K849" s="118">
        <v>0.40200000000000002</v>
      </c>
      <c r="L849" s="118">
        <v>0.42899999999999999</v>
      </c>
      <c r="M849" s="118">
        <v>0.48299999999999998</v>
      </c>
      <c r="N849" s="118">
        <v>0.56399999999999995</v>
      </c>
      <c r="O849" s="118">
        <v>0.64400000000000002</v>
      </c>
      <c r="P849" s="118">
        <v>0.72499999999999998</v>
      </c>
      <c r="Q849" s="131">
        <v>0.80500000000000005</v>
      </c>
      <c r="S849" s="182"/>
    </row>
    <row r="850" spans="1:19" x14ac:dyDescent="0.3">
      <c r="A850" s="309"/>
      <c r="B850" s="117" t="s">
        <v>804</v>
      </c>
      <c r="C850" s="118">
        <v>0.13</v>
      </c>
      <c r="D850" s="118">
        <v>0.14699999999999999</v>
      </c>
      <c r="E850" s="118">
        <v>0.184</v>
      </c>
      <c r="F850" s="118">
        <v>0.23200000000000001</v>
      </c>
      <c r="G850" s="118">
        <v>0.26800000000000002</v>
      </c>
      <c r="H850" s="118">
        <v>0.32200000000000001</v>
      </c>
      <c r="I850" s="118">
        <v>0.34899999999999998</v>
      </c>
      <c r="J850" s="118">
        <v>0.376</v>
      </c>
      <c r="K850" s="118">
        <v>0.40200000000000002</v>
      </c>
      <c r="L850" s="118">
        <v>0.42899999999999999</v>
      </c>
      <c r="M850" s="118">
        <v>0.48299999999999998</v>
      </c>
      <c r="N850" s="118">
        <v>0.56399999999999995</v>
      </c>
      <c r="O850" s="118">
        <v>0.64400000000000002</v>
      </c>
      <c r="P850" s="118">
        <v>0.72499999999999998</v>
      </c>
      <c r="Q850" s="131">
        <v>0.80500000000000005</v>
      </c>
      <c r="S850" s="182"/>
    </row>
    <row r="851" spans="1:19" x14ac:dyDescent="0.3">
      <c r="A851" s="309"/>
      <c r="B851" s="117" t="s">
        <v>805</v>
      </c>
      <c r="C851" s="118">
        <v>0.372</v>
      </c>
      <c r="D851" s="118">
        <v>0.41899999999999998</v>
      </c>
      <c r="E851" s="118">
        <v>0.52500000000000002</v>
      </c>
      <c r="F851" s="118">
        <v>0.66200000000000003</v>
      </c>
      <c r="G851" s="118">
        <v>0.76700000000000002</v>
      </c>
      <c r="H851" s="118">
        <v>0.92</v>
      </c>
      <c r="I851" s="118">
        <v>0.997</v>
      </c>
      <c r="J851" s="118">
        <v>1.0740000000000001</v>
      </c>
      <c r="K851" s="118">
        <v>1.1499999999999999</v>
      </c>
      <c r="L851" s="118">
        <v>1.2270000000000001</v>
      </c>
      <c r="M851" s="118">
        <v>1.38</v>
      </c>
      <c r="N851" s="118">
        <v>1.611</v>
      </c>
      <c r="O851" s="118">
        <v>1.841</v>
      </c>
      <c r="P851" s="118">
        <v>2.0710000000000002</v>
      </c>
      <c r="Q851" s="131">
        <v>2.3010000000000002</v>
      </c>
      <c r="S851" s="182"/>
    </row>
    <row r="852" spans="1:19" x14ac:dyDescent="0.3">
      <c r="A852" s="309"/>
      <c r="B852" s="117" t="s">
        <v>806</v>
      </c>
      <c r="C852" s="118">
        <v>0.55700000000000005</v>
      </c>
      <c r="D852" s="118">
        <v>0.629</v>
      </c>
      <c r="E852" s="118">
        <v>0.78800000000000003</v>
      </c>
      <c r="F852" s="118">
        <v>0.99299999999999999</v>
      </c>
      <c r="G852" s="118">
        <v>1.151</v>
      </c>
      <c r="H852" s="118">
        <v>1.381</v>
      </c>
      <c r="I852" s="118">
        <v>1.4950000000000001</v>
      </c>
      <c r="J852" s="118">
        <v>1.61</v>
      </c>
      <c r="K852" s="118">
        <v>1.7250000000000001</v>
      </c>
      <c r="L852" s="118">
        <v>1.84</v>
      </c>
      <c r="M852" s="118">
        <v>2.0699999999999998</v>
      </c>
      <c r="N852" s="118">
        <v>2.4159999999999999</v>
      </c>
      <c r="O852" s="118">
        <v>2.762</v>
      </c>
      <c r="P852" s="118">
        <v>3.1070000000000002</v>
      </c>
      <c r="Q852" s="131">
        <v>3.452</v>
      </c>
      <c r="S852" s="182"/>
    </row>
    <row r="853" spans="1:19" ht="15" thickBot="1" x14ac:dyDescent="0.35">
      <c r="A853" s="310"/>
      <c r="B853" s="117" t="s">
        <v>807</v>
      </c>
      <c r="C853" s="118">
        <v>0.55700000000000005</v>
      </c>
      <c r="D853" s="118">
        <v>0.629</v>
      </c>
      <c r="E853" s="118">
        <v>0.78800000000000003</v>
      </c>
      <c r="F853" s="118">
        <v>0.99299999999999999</v>
      </c>
      <c r="G853" s="118">
        <v>1.151</v>
      </c>
      <c r="H853" s="118">
        <v>1.381</v>
      </c>
      <c r="I853" s="118">
        <v>1.4950000000000001</v>
      </c>
      <c r="J853" s="118">
        <v>1.61</v>
      </c>
      <c r="K853" s="118">
        <v>1.7250000000000001</v>
      </c>
      <c r="L853" s="118">
        <v>1.84</v>
      </c>
      <c r="M853" s="118">
        <v>2.0699999999999998</v>
      </c>
      <c r="N853" s="118">
        <v>2.4159999999999999</v>
      </c>
      <c r="O853" s="118">
        <v>2.762</v>
      </c>
      <c r="P853" s="118">
        <v>3.1070000000000002</v>
      </c>
      <c r="Q853" s="131">
        <v>3.452</v>
      </c>
      <c r="S853" s="182"/>
    </row>
    <row r="854" spans="1:19" x14ac:dyDescent="0.3">
      <c r="A854" s="305" t="s">
        <v>808</v>
      </c>
      <c r="B854" s="121" t="s">
        <v>800</v>
      </c>
      <c r="C854" s="122">
        <v>0.20300000000000001</v>
      </c>
      <c r="D854" s="122">
        <v>0.23</v>
      </c>
      <c r="E854" s="122">
        <v>0.28899999999999998</v>
      </c>
      <c r="F854" s="122">
        <v>0.36399999999999999</v>
      </c>
      <c r="G854" s="122">
        <v>0.42299999999999999</v>
      </c>
      <c r="H854" s="122">
        <v>0.505</v>
      </c>
      <c r="I854" s="122">
        <v>0.54700000000000004</v>
      </c>
      <c r="J854" s="122">
        <v>0.59</v>
      </c>
      <c r="K854" s="122">
        <v>0.63100000000000001</v>
      </c>
      <c r="L854" s="122">
        <v>0.67400000000000004</v>
      </c>
      <c r="M854" s="122">
        <v>0.75800000000000001</v>
      </c>
      <c r="N854" s="122">
        <v>0.88400000000000001</v>
      </c>
      <c r="O854" s="122">
        <v>1.0109999999999999</v>
      </c>
      <c r="P854" s="122">
        <v>1.137</v>
      </c>
      <c r="Q854" s="132">
        <v>1.2629999999999999</v>
      </c>
    </row>
    <row r="855" spans="1:19" x14ac:dyDescent="0.3">
      <c r="A855" s="306"/>
      <c r="B855" s="125" t="s">
        <v>801</v>
      </c>
      <c r="C855" s="126">
        <v>0.14299999999999999</v>
      </c>
      <c r="D855" s="126">
        <v>0.161</v>
      </c>
      <c r="E855" s="126">
        <v>0.20200000000000001</v>
      </c>
      <c r="F855" s="126">
        <v>0.255</v>
      </c>
      <c r="G855" s="126">
        <v>0.29499999999999998</v>
      </c>
      <c r="H855" s="126">
        <v>0.35399999999999998</v>
      </c>
      <c r="I855" s="126">
        <v>0.38400000000000001</v>
      </c>
      <c r="J855" s="126">
        <v>0.41299999999999998</v>
      </c>
      <c r="K855" s="126">
        <v>0.442</v>
      </c>
      <c r="L855" s="126">
        <v>0.47199999999999998</v>
      </c>
      <c r="M855" s="126">
        <v>0.53100000000000003</v>
      </c>
      <c r="N855" s="126">
        <v>0.62</v>
      </c>
      <c r="O855" s="126">
        <v>0.70799999999999996</v>
      </c>
      <c r="P855" s="126">
        <v>0.79700000000000004</v>
      </c>
      <c r="Q855" s="133">
        <v>0.88500000000000001</v>
      </c>
    </row>
    <row r="856" spans="1:19" x14ac:dyDescent="0.3">
      <c r="A856" s="306"/>
      <c r="B856" s="125" t="s">
        <v>802</v>
      </c>
      <c r="C856" s="126">
        <v>7.1999999999999995E-2</v>
      </c>
      <c r="D856" s="126">
        <v>8.1000000000000003E-2</v>
      </c>
      <c r="E856" s="126">
        <v>0.10100000000000001</v>
      </c>
      <c r="F856" s="126">
        <v>0.127</v>
      </c>
      <c r="G856" s="126">
        <v>0.14799999999999999</v>
      </c>
      <c r="H856" s="126">
        <v>0.17699999999999999</v>
      </c>
      <c r="I856" s="126">
        <v>0.192</v>
      </c>
      <c r="J856" s="126">
        <v>0.20699999999999999</v>
      </c>
      <c r="K856" s="126">
        <v>0.221</v>
      </c>
      <c r="L856" s="126">
        <v>0.23599999999999999</v>
      </c>
      <c r="M856" s="126">
        <v>0.26500000000000001</v>
      </c>
      <c r="N856" s="126">
        <v>0.31</v>
      </c>
      <c r="O856" s="126">
        <v>0.35399999999999998</v>
      </c>
      <c r="P856" s="126">
        <v>0.39800000000000002</v>
      </c>
      <c r="Q856" s="133">
        <v>0.443</v>
      </c>
    </row>
    <row r="857" spans="1:19" ht="24" x14ac:dyDescent="0.3">
      <c r="A857" s="306"/>
      <c r="B857" s="125" t="s">
        <v>803</v>
      </c>
      <c r="C857" s="126">
        <v>7.1999999999999995E-2</v>
      </c>
      <c r="D857" s="126">
        <v>8.1000000000000003E-2</v>
      </c>
      <c r="E857" s="126">
        <v>0.10100000000000001</v>
      </c>
      <c r="F857" s="126">
        <v>0.127</v>
      </c>
      <c r="G857" s="126">
        <v>0.14799999999999999</v>
      </c>
      <c r="H857" s="126">
        <v>0.17699999999999999</v>
      </c>
      <c r="I857" s="126">
        <v>0.192</v>
      </c>
      <c r="J857" s="126">
        <v>0.20699999999999999</v>
      </c>
      <c r="K857" s="126">
        <v>0.221</v>
      </c>
      <c r="L857" s="126">
        <v>0.23599999999999999</v>
      </c>
      <c r="M857" s="126">
        <v>0.26500000000000001</v>
      </c>
      <c r="N857" s="126">
        <v>0.31</v>
      </c>
      <c r="O857" s="126">
        <v>0.35399999999999998</v>
      </c>
      <c r="P857" s="126">
        <v>0.39800000000000002</v>
      </c>
      <c r="Q857" s="133">
        <v>0.443</v>
      </c>
    </row>
    <row r="858" spans="1:19" x14ac:dyDescent="0.3">
      <c r="A858" s="306"/>
      <c r="B858" s="125" t="s">
        <v>804</v>
      </c>
      <c r="C858" s="126">
        <v>7.1999999999999995E-2</v>
      </c>
      <c r="D858" s="126">
        <v>8.1000000000000003E-2</v>
      </c>
      <c r="E858" s="126">
        <v>0.10100000000000001</v>
      </c>
      <c r="F858" s="126">
        <v>0.127</v>
      </c>
      <c r="G858" s="126">
        <v>0.14799999999999999</v>
      </c>
      <c r="H858" s="126">
        <v>0.17699999999999999</v>
      </c>
      <c r="I858" s="126">
        <v>0.192</v>
      </c>
      <c r="J858" s="126">
        <v>0.20699999999999999</v>
      </c>
      <c r="K858" s="126">
        <v>0.221</v>
      </c>
      <c r="L858" s="126">
        <v>0.23599999999999999</v>
      </c>
      <c r="M858" s="126">
        <v>0.26500000000000001</v>
      </c>
      <c r="N858" s="126">
        <v>0.31</v>
      </c>
      <c r="O858" s="126">
        <v>0.35399999999999998</v>
      </c>
      <c r="P858" s="126">
        <v>0.39800000000000002</v>
      </c>
      <c r="Q858" s="133">
        <v>0.443</v>
      </c>
    </row>
    <row r="859" spans="1:19" x14ac:dyDescent="0.3">
      <c r="A859" s="306"/>
      <c r="B859" s="125" t="s">
        <v>805</v>
      </c>
      <c r="C859" s="126">
        <v>0.20399999999999999</v>
      </c>
      <c r="D859" s="126">
        <v>0.22900000000000001</v>
      </c>
      <c r="E859" s="126">
        <v>0.28899999999999998</v>
      </c>
      <c r="F859" s="126">
        <v>0.36299999999999999</v>
      </c>
      <c r="G859" s="126">
        <v>0.42199999999999999</v>
      </c>
      <c r="H859" s="126">
        <v>0.505</v>
      </c>
      <c r="I859" s="126">
        <v>0.54700000000000004</v>
      </c>
      <c r="J859" s="126">
        <v>0.59</v>
      </c>
      <c r="K859" s="126">
        <v>0.63100000000000001</v>
      </c>
      <c r="L859" s="126">
        <v>0.67400000000000004</v>
      </c>
      <c r="M859" s="126">
        <v>0.75800000000000001</v>
      </c>
      <c r="N859" s="126">
        <v>0.88400000000000001</v>
      </c>
      <c r="O859" s="126">
        <v>1.0109999999999999</v>
      </c>
      <c r="P859" s="126">
        <v>1.137</v>
      </c>
      <c r="Q859" s="133">
        <v>1.2629999999999999</v>
      </c>
    </row>
    <row r="860" spans="1:19" x14ac:dyDescent="0.3">
      <c r="A860" s="306"/>
      <c r="B860" s="125" t="s">
        <v>806</v>
      </c>
      <c r="C860" s="126">
        <v>0.30499999999999999</v>
      </c>
      <c r="D860" s="126">
        <v>0.34399999999999997</v>
      </c>
      <c r="E860" s="126">
        <v>0.434</v>
      </c>
      <c r="F860" s="126">
        <v>0.54500000000000004</v>
      </c>
      <c r="G860" s="126">
        <v>0.63400000000000001</v>
      </c>
      <c r="H860" s="126">
        <v>0.75800000000000001</v>
      </c>
      <c r="I860" s="126">
        <v>0.82</v>
      </c>
      <c r="J860" s="126">
        <v>0.88400000000000001</v>
      </c>
      <c r="K860" s="126">
        <v>0.94699999999999995</v>
      </c>
      <c r="L860" s="126">
        <v>1.0109999999999999</v>
      </c>
      <c r="M860" s="126">
        <v>1.137</v>
      </c>
      <c r="N860" s="126">
        <v>1.3260000000000001</v>
      </c>
      <c r="O860" s="126">
        <v>1.5169999999999999</v>
      </c>
      <c r="P860" s="126">
        <v>1.706</v>
      </c>
      <c r="Q860" s="133">
        <v>1.895</v>
      </c>
    </row>
    <row r="861" spans="1:19" ht="15" thickBot="1" x14ac:dyDescent="0.35">
      <c r="A861" s="307"/>
      <c r="B861" s="125" t="s">
        <v>807</v>
      </c>
      <c r="C861" s="126">
        <v>0.30499999999999999</v>
      </c>
      <c r="D861" s="126">
        <v>0.34399999999999997</v>
      </c>
      <c r="E861" s="126">
        <v>0.434</v>
      </c>
      <c r="F861" s="126">
        <v>0.54500000000000004</v>
      </c>
      <c r="G861" s="126">
        <v>0.63400000000000001</v>
      </c>
      <c r="H861" s="126">
        <v>0.75800000000000001</v>
      </c>
      <c r="I861" s="126">
        <v>0.82</v>
      </c>
      <c r="J861" s="126">
        <v>0.88400000000000001</v>
      </c>
      <c r="K861" s="126">
        <v>0.94699999999999995</v>
      </c>
      <c r="L861" s="126">
        <v>1.0109999999999999</v>
      </c>
      <c r="M861" s="126">
        <v>1.137</v>
      </c>
      <c r="N861" s="126">
        <v>1.3260000000000001</v>
      </c>
      <c r="O861" s="126">
        <v>1.5169999999999999</v>
      </c>
      <c r="P861" s="126">
        <v>1.706</v>
      </c>
      <c r="Q861" s="133">
        <v>1.895</v>
      </c>
    </row>
    <row r="862" spans="1:19" ht="27" customHeight="1" thickBot="1" x14ac:dyDescent="0.35">
      <c r="A862" s="312" t="s">
        <v>814</v>
      </c>
      <c r="B862" s="313"/>
      <c r="C862" s="313"/>
      <c r="D862" s="313"/>
      <c r="E862" s="313"/>
      <c r="F862" s="313"/>
      <c r="G862" s="313"/>
      <c r="H862" s="313"/>
      <c r="I862" s="313"/>
      <c r="J862" s="313"/>
      <c r="K862" s="313"/>
      <c r="L862" s="313"/>
      <c r="M862" s="313"/>
      <c r="N862" s="313"/>
      <c r="O862" s="313"/>
      <c r="P862" s="313"/>
      <c r="Q862" s="314"/>
    </row>
    <row r="863" spans="1:19" x14ac:dyDescent="0.3">
      <c r="A863" s="308" t="s">
        <v>799</v>
      </c>
      <c r="B863" s="113" t="s">
        <v>800</v>
      </c>
      <c r="C863" s="134"/>
      <c r="D863" s="129">
        <v>0.51500000000000001</v>
      </c>
      <c r="E863" s="129">
        <v>0.66300000000000003</v>
      </c>
      <c r="F863" s="129">
        <v>0.82299999999999995</v>
      </c>
      <c r="G863" s="129">
        <v>0.95099999999999996</v>
      </c>
      <c r="H863" s="129">
        <v>1.143</v>
      </c>
      <c r="I863" s="129">
        <v>1.238</v>
      </c>
      <c r="J863" s="129">
        <v>1.333</v>
      </c>
      <c r="K863" s="129">
        <v>1.4279999999999999</v>
      </c>
      <c r="L863" s="129">
        <v>1.5229999999999999</v>
      </c>
      <c r="M863" s="129">
        <v>1.714</v>
      </c>
      <c r="N863" s="129">
        <v>2</v>
      </c>
      <c r="O863" s="129">
        <v>2.286</v>
      </c>
      <c r="P863" s="129">
        <v>2.5720000000000001</v>
      </c>
      <c r="Q863" s="130">
        <v>2.8570000000000002</v>
      </c>
    </row>
    <row r="864" spans="1:19" x14ac:dyDescent="0.3">
      <c r="A864" s="309"/>
      <c r="B864" s="117" t="s">
        <v>801</v>
      </c>
      <c r="C864" s="135"/>
      <c r="D864" s="118">
        <v>0.36099999999999999</v>
      </c>
      <c r="E864" s="118">
        <v>0.46300000000000002</v>
      </c>
      <c r="F864" s="118">
        <v>0.57599999999999996</v>
      </c>
      <c r="G864" s="118">
        <v>0.66700000000000004</v>
      </c>
      <c r="H864" s="118">
        <v>0.8</v>
      </c>
      <c r="I864" s="118">
        <v>0.86599999999999999</v>
      </c>
      <c r="J864" s="118">
        <v>0.93300000000000005</v>
      </c>
      <c r="K864" s="118">
        <v>0.999</v>
      </c>
      <c r="L864" s="118">
        <v>1.0660000000000001</v>
      </c>
      <c r="M864" s="118">
        <v>1.2</v>
      </c>
      <c r="N864" s="118">
        <v>1.4</v>
      </c>
      <c r="O864" s="118">
        <v>1.6</v>
      </c>
      <c r="P864" s="118">
        <v>1.8</v>
      </c>
      <c r="Q864" s="131">
        <v>2</v>
      </c>
    </row>
    <row r="865" spans="1:17" x14ac:dyDescent="0.3">
      <c r="A865" s="309"/>
      <c r="B865" s="117" t="s">
        <v>802</v>
      </c>
      <c r="C865" s="135"/>
      <c r="D865" s="118">
        <v>0.18099999999999999</v>
      </c>
      <c r="E865" s="118">
        <v>0.23200000000000001</v>
      </c>
      <c r="F865" s="118">
        <v>0.28799999999999998</v>
      </c>
      <c r="G865" s="118">
        <v>0.33300000000000002</v>
      </c>
      <c r="H865" s="118">
        <v>0.4</v>
      </c>
      <c r="I865" s="118">
        <v>0.433</v>
      </c>
      <c r="J865" s="118">
        <v>0.46700000000000003</v>
      </c>
      <c r="K865" s="118">
        <v>0.5</v>
      </c>
      <c r="L865" s="118">
        <v>0.53300000000000003</v>
      </c>
      <c r="M865" s="118">
        <v>0.6</v>
      </c>
      <c r="N865" s="118">
        <v>0.7</v>
      </c>
      <c r="O865" s="118">
        <v>0.8</v>
      </c>
      <c r="P865" s="118">
        <v>0.9</v>
      </c>
      <c r="Q865" s="131">
        <v>1</v>
      </c>
    </row>
    <row r="866" spans="1:17" ht="24" x14ac:dyDescent="0.3">
      <c r="A866" s="309"/>
      <c r="B866" s="117" t="s">
        <v>803</v>
      </c>
      <c r="C866" s="135"/>
      <c r="D866" s="118">
        <v>0.18099999999999999</v>
      </c>
      <c r="E866" s="118">
        <v>0.23200000000000001</v>
      </c>
      <c r="F866" s="118">
        <v>0.28799999999999998</v>
      </c>
      <c r="G866" s="118">
        <v>0.33300000000000002</v>
      </c>
      <c r="H866" s="118">
        <v>0.4</v>
      </c>
      <c r="I866" s="118">
        <v>0.433</v>
      </c>
      <c r="J866" s="118">
        <v>0.46700000000000003</v>
      </c>
      <c r="K866" s="118">
        <v>0.5</v>
      </c>
      <c r="L866" s="118">
        <v>0.53300000000000003</v>
      </c>
      <c r="M866" s="118">
        <v>0.6</v>
      </c>
      <c r="N866" s="118">
        <v>0.7</v>
      </c>
      <c r="O866" s="118">
        <v>0.8</v>
      </c>
      <c r="P866" s="118">
        <v>0.9</v>
      </c>
      <c r="Q866" s="131">
        <v>1</v>
      </c>
    </row>
    <row r="867" spans="1:17" x14ac:dyDescent="0.3">
      <c r="A867" s="309"/>
      <c r="B867" s="117" t="s">
        <v>804</v>
      </c>
      <c r="C867" s="135"/>
      <c r="D867" s="118">
        <v>0.18099999999999999</v>
      </c>
      <c r="E867" s="118">
        <v>0.23200000000000001</v>
      </c>
      <c r="F867" s="118">
        <v>0.28799999999999998</v>
      </c>
      <c r="G867" s="118">
        <v>0.33300000000000002</v>
      </c>
      <c r="H867" s="118">
        <v>0.4</v>
      </c>
      <c r="I867" s="118">
        <v>0.433</v>
      </c>
      <c r="J867" s="118">
        <v>0.46700000000000003</v>
      </c>
      <c r="K867" s="118">
        <v>0.5</v>
      </c>
      <c r="L867" s="118">
        <v>0.53300000000000003</v>
      </c>
      <c r="M867" s="118">
        <v>0.6</v>
      </c>
      <c r="N867" s="118">
        <v>0.7</v>
      </c>
      <c r="O867" s="118">
        <v>0.8</v>
      </c>
      <c r="P867" s="118">
        <v>0.9</v>
      </c>
      <c r="Q867" s="131">
        <v>1</v>
      </c>
    </row>
    <row r="868" spans="1:17" x14ac:dyDescent="0.3">
      <c r="A868" s="309"/>
      <c r="B868" s="117" t="s">
        <v>805</v>
      </c>
      <c r="C868" s="135"/>
      <c r="D868" s="118">
        <v>0.51600000000000001</v>
      </c>
      <c r="E868" s="118">
        <v>0.66200000000000003</v>
      </c>
      <c r="F868" s="118">
        <v>0.82299999999999995</v>
      </c>
      <c r="G868" s="118">
        <v>0.95199999999999996</v>
      </c>
      <c r="H868" s="118">
        <v>1.143</v>
      </c>
      <c r="I868" s="118">
        <v>1.238</v>
      </c>
      <c r="J868" s="118">
        <v>1.333</v>
      </c>
      <c r="K868" s="118">
        <v>1.4279999999999999</v>
      </c>
      <c r="L868" s="118">
        <v>1.5229999999999999</v>
      </c>
      <c r="M868" s="118">
        <v>1.714</v>
      </c>
      <c r="N868" s="118">
        <v>2</v>
      </c>
      <c r="O868" s="118">
        <v>2.286</v>
      </c>
      <c r="P868" s="118">
        <v>2.5720000000000001</v>
      </c>
      <c r="Q868" s="131">
        <v>2.8570000000000002</v>
      </c>
    </row>
    <row r="869" spans="1:17" x14ac:dyDescent="0.3">
      <c r="A869" s="309"/>
      <c r="B869" s="117" t="s">
        <v>806</v>
      </c>
      <c r="C869" s="135"/>
      <c r="D869" s="118">
        <v>0.77500000000000002</v>
      </c>
      <c r="E869" s="118">
        <v>0.99299999999999999</v>
      </c>
      <c r="F869" s="118">
        <v>1.2350000000000001</v>
      </c>
      <c r="G869" s="118">
        <v>1.429</v>
      </c>
      <c r="H869" s="118">
        <v>1.714</v>
      </c>
      <c r="I869" s="118">
        <v>1.857</v>
      </c>
      <c r="J869" s="118">
        <v>1.9990000000000001</v>
      </c>
      <c r="K869" s="118">
        <v>2.141</v>
      </c>
      <c r="L869" s="118">
        <v>2.2850000000000001</v>
      </c>
      <c r="M869" s="118">
        <v>2.5710000000000002</v>
      </c>
      <c r="N869" s="118">
        <v>3</v>
      </c>
      <c r="O869" s="118">
        <v>3.4289999999999998</v>
      </c>
      <c r="P869" s="118">
        <v>3.8570000000000002</v>
      </c>
      <c r="Q869" s="131">
        <v>4.2850000000000001</v>
      </c>
    </row>
    <row r="870" spans="1:17" ht="15" thickBot="1" x14ac:dyDescent="0.35">
      <c r="A870" s="310"/>
      <c r="B870" s="117" t="s">
        <v>807</v>
      </c>
      <c r="C870" s="135"/>
      <c r="D870" s="118">
        <v>0.77500000000000002</v>
      </c>
      <c r="E870" s="118">
        <v>0.99299999999999999</v>
      </c>
      <c r="F870" s="118">
        <v>1.2350000000000001</v>
      </c>
      <c r="G870" s="118">
        <v>1.429</v>
      </c>
      <c r="H870" s="118">
        <v>1.714</v>
      </c>
      <c r="I870" s="118">
        <v>1.857</v>
      </c>
      <c r="J870" s="118">
        <v>1.9990000000000001</v>
      </c>
      <c r="K870" s="118">
        <v>2.141</v>
      </c>
      <c r="L870" s="118">
        <v>2.2850000000000001</v>
      </c>
      <c r="M870" s="118">
        <v>2.5710000000000002</v>
      </c>
      <c r="N870" s="118">
        <v>3</v>
      </c>
      <c r="O870" s="118">
        <v>3.4289999999999998</v>
      </c>
      <c r="P870" s="118">
        <v>3.8570000000000002</v>
      </c>
      <c r="Q870" s="131">
        <v>4.2850000000000001</v>
      </c>
    </row>
    <row r="871" spans="1:17" x14ac:dyDescent="0.3">
      <c r="A871" s="305" t="s">
        <v>808</v>
      </c>
      <c r="B871" s="121" t="s">
        <v>800</v>
      </c>
      <c r="C871" s="136"/>
      <c r="D871" s="122">
        <v>0.28499999999999998</v>
      </c>
      <c r="E871" s="122">
        <v>0.36399999999999999</v>
      </c>
      <c r="F871" s="122">
        <v>0.45300000000000001</v>
      </c>
      <c r="G871" s="122">
        <v>0.52500000000000002</v>
      </c>
      <c r="H871" s="122">
        <v>0.63</v>
      </c>
      <c r="I871" s="122">
        <v>0.68200000000000005</v>
      </c>
      <c r="J871" s="122">
        <v>0.73499999999999999</v>
      </c>
      <c r="K871" s="122">
        <v>0.78700000000000003</v>
      </c>
      <c r="L871" s="122">
        <v>0.84</v>
      </c>
      <c r="M871" s="122">
        <v>0.94499999999999995</v>
      </c>
      <c r="N871" s="122">
        <v>1.1020000000000001</v>
      </c>
      <c r="O871" s="122">
        <v>1.26</v>
      </c>
      <c r="P871" s="122">
        <v>1.4179999999999999</v>
      </c>
      <c r="Q871" s="132">
        <v>1.575</v>
      </c>
    </row>
    <row r="872" spans="1:17" x14ac:dyDescent="0.3">
      <c r="A872" s="306"/>
      <c r="B872" s="125" t="s">
        <v>801</v>
      </c>
      <c r="C872" s="137"/>
      <c r="D872" s="126">
        <v>0.19900000000000001</v>
      </c>
      <c r="E872" s="126">
        <v>0.255</v>
      </c>
      <c r="F872" s="126">
        <v>0.317</v>
      </c>
      <c r="G872" s="126">
        <v>0.36699999999999999</v>
      </c>
      <c r="H872" s="126">
        <v>0.44</v>
      </c>
      <c r="I872" s="126">
        <v>0.47699999999999998</v>
      </c>
      <c r="J872" s="126">
        <v>0.51400000000000001</v>
      </c>
      <c r="K872" s="126">
        <v>0.55000000000000004</v>
      </c>
      <c r="L872" s="126">
        <v>0.58699999999999997</v>
      </c>
      <c r="M872" s="126">
        <v>0.66</v>
      </c>
      <c r="N872" s="126">
        <v>0.77</v>
      </c>
      <c r="O872" s="126">
        <v>0.88100000000000001</v>
      </c>
      <c r="P872" s="126">
        <v>0.99099999999999999</v>
      </c>
      <c r="Q872" s="133">
        <v>1.101</v>
      </c>
    </row>
    <row r="873" spans="1:17" x14ac:dyDescent="0.3">
      <c r="A873" s="306"/>
      <c r="B873" s="125" t="s">
        <v>802</v>
      </c>
      <c r="C873" s="137"/>
      <c r="D873" s="126">
        <v>9.9000000000000005E-2</v>
      </c>
      <c r="E873" s="126">
        <v>0.127</v>
      </c>
      <c r="F873" s="126">
        <v>0.158</v>
      </c>
      <c r="G873" s="126">
        <v>0.183</v>
      </c>
      <c r="H873" s="126">
        <v>0.22</v>
      </c>
      <c r="I873" s="126">
        <v>0.23799999999999999</v>
      </c>
      <c r="J873" s="126">
        <v>0.25700000000000001</v>
      </c>
      <c r="K873" s="126">
        <v>0.27500000000000002</v>
      </c>
      <c r="L873" s="126">
        <v>0.29299999999999998</v>
      </c>
      <c r="M873" s="126">
        <v>0.33</v>
      </c>
      <c r="N873" s="126">
        <v>0.38500000000000001</v>
      </c>
      <c r="O873" s="126">
        <v>0.44</v>
      </c>
      <c r="P873" s="126">
        <v>0.495</v>
      </c>
      <c r="Q873" s="133">
        <v>0.55000000000000004</v>
      </c>
    </row>
    <row r="874" spans="1:17" ht="24" x14ac:dyDescent="0.3">
      <c r="A874" s="306"/>
      <c r="B874" s="125" t="s">
        <v>803</v>
      </c>
      <c r="C874" s="137"/>
      <c r="D874" s="126">
        <v>9.9000000000000005E-2</v>
      </c>
      <c r="E874" s="126">
        <v>0.127</v>
      </c>
      <c r="F874" s="126">
        <v>0.158</v>
      </c>
      <c r="G874" s="126">
        <v>0.183</v>
      </c>
      <c r="H874" s="126">
        <v>0.22</v>
      </c>
      <c r="I874" s="126">
        <v>0.23799999999999999</v>
      </c>
      <c r="J874" s="126">
        <v>0.25700000000000001</v>
      </c>
      <c r="K874" s="126">
        <v>0.27500000000000002</v>
      </c>
      <c r="L874" s="126">
        <v>0.29299999999999998</v>
      </c>
      <c r="M874" s="126">
        <v>0.33</v>
      </c>
      <c r="N874" s="126">
        <v>0.38500000000000001</v>
      </c>
      <c r="O874" s="126">
        <v>0.44</v>
      </c>
      <c r="P874" s="126">
        <v>0.495</v>
      </c>
      <c r="Q874" s="133">
        <v>0.55000000000000004</v>
      </c>
    </row>
    <row r="875" spans="1:17" x14ac:dyDescent="0.3">
      <c r="A875" s="306"/>
      <c r="B875" s="125" t="s">
        <v>804</v>
      </c>
      <c r="C875" s="137"/>
      <c r="D875" s="126">
        <v>9.9000000000000005E-2</v>
      </c>
      <c r="E875" s="126">
        <v>0.127</v>
      </c>
      <c r="F875" s="126">
        <v>0.158</v>
      </c>
      <c r="G875" s="126">
        <v>0.183</v>
      </c>
      <c r="H875" s="126">
        <v>0.22</v>
      </c>
      <c r="I875" s="126">
        <v>0.23799999999999999</v>
      </c>
      <c r="J875" s="126">
        <v>0.25700000000000001</v>
      </c>
      <c r="K875" s="126">
        <v>0.27500000000000002</v>
      </c>
      <c r="L875" s="126">
        <v>0.29299999999999998</v>
      </c>
      <c r="M875" s="126">
        <v>0.33</v>
      </c>
      <c r="N875" s="126">
        <v>0.38500000000000001</v>
      </c>
      <c r="O875" s="126">
        <v>0.44</v>
      </c>
      <c r="P875" s="126">
        <v>0.495</v>
      </c>
      <c r="Q875" s="133">
        <v>0.55000000000000004</v>
      </c>
    </row>
    <row r="876" spans="1:17" x14ac:dyDescent="0.3">
      <c r="A876" s="306"/>
      <c r="B876" s="125" t="s">
        <v>805</v>
      </c>
      <c r="C876" s="137"/>
      <c r="D876" s="126">
        <v>0.28599999999999998</v>
      </c>
      <c r="E876" s="126">
        <v>0.36299999999999999</v>
      </c>
      <c r="F876" s="126">
        <v>0.45300000000000001</v>
      </c>
      <c r="G876" s="126">
        <v>0.52600000000000002</v>
      </c>
      <c r="H876" s="126">
        <v>0.63</v>
      </c>
      <c r="I876" s="126">
        <v>0.68200000000000005</v>
      </c>
      <c r="J876" s="126">
        <v>0.73499999999999999</v>
      </c>
      <c r="K876" s="126">
        <v>0.78700000000000003</v>
      </c>
      <c r="L876" s="126">
        <v>0.84</v>
      </c>
      <c r="M876" s="126">
        <v>0.94499999999999995</v>
      </c>
      <c r="N876" s="126">
        <v>1.1020000000000001</v>
      </c>
      <c r="O876" s="126">
        <v>1.26</v>
      </c>
      <c r="P876" s="126">
        <v>1.4179999999999999</v>
      </c>
      <c r="Q876" s="133">
        <v>1.575</v>
      </c>
    </row>
    <row r="877" spans="1:17" x14ac:dyDescent="0.3">
      <c r="A877" s="306"/>
      <c r="B877" s="125" t="s">
        <v>806</v>
      </c>
      <c r="C877" s="137"/>
      <c r="D877" s="126">
        <v>0.42899999999999999</v>
      </c>
      <c r="E877" s="126">
        <v>0.54500000000000004</v>
      </c>
      <c r="F877" s="126">
        <v>0.68</v>
      </c>
      <c r="G877" s="126">
        <v>0.78900000000000003</v>
      </c>
      <c r="H877" s="126">
        <v>0.94499999999999995</v>
      </c>
      <c r="I877" s="126">
        <v>1.0229999999999999</v>
      </c>
      <c r="J877" s="126">
        <v>1.1020000000000001</v>
      </c>
      <c r="K877" s="126">
        <v>1.18</v>
      </c>
      <c r="L877" s="126">
        <v>1.26</v>
      </c>
      <c r="M877" s="126">
        <v>1.4179999999999999</v>
      </c>
      <c r="N877" s="126">
        <v>1.653</v>
      </c>
      <c r="O877" s="126">
        <v>1.89</v>
      </c>
      <c r="P877" s="126">
        <v>2.1259999999999999</v>
      </c>
      <c r="Q877" s="133">
        <v>2.3620000000000001</v>
      </c>
    </row>
    <row r="878" spans="1:17" x14ac:dyDescent="0.3">
      <c r="A878" s="307"/>
      <c r="B878" s="125" t="s">
        <v>807</v>
      </c>
      <c r="C878" s="137"/>
      <c r="D878" s="126">
        <v>0.42899999999999999</v>
      </c>
      <c r="E878" s="126">
        <v>0.54500000000000004</v>
      </c>
      <c r="F878" s="126">
        <v>0.68</v>
      </c>
      <c r="G878" s="126">
        <v>0.78900000000000003</v>
      </c>
      <c r="H878" s="126">
        <v>0.94499999999999995</v>
      </c>
      <c r="I878" s="126">
        <v>1.0229999999999999</v>
      </c>
      <c r="J878" s="126">
        <v>1.1020000000000001</v>
      </c>
      <c r="K878" s="126">
        <v>1.18</v>
      </c>
      <c r="L878" s="126">
        <v>1.26</v>
      </c>
      <c r="M878" s="126">
        <v>1.4179999999999999</v>
      </c>
      <c r="N878" s="126">
        <v>1.653</v>
      </c>
      <c r="O878" s="126">
        <v>1.89</v>
      </c>
      <c r="P878" s="126">
        <v>2.1259999999999999</v>
      </c>
      <c r="Q878" s="133">
        <v>2.3620000000000001</v>
      </c>
    </row>
    <row r="881" spans="1:25" x14ac:dyDescent="0.3">
      <c r="A881"/>
      <c r="B881"/>
      <c r="C881"/>
      <c r="D881"/>
      <c r="E881"/>
      <c r="F881"/>
      <c r="G881"/>
      <c r="H881"/>
      <c r="I881"/>
      <c r="J881"/>
      <c r="K881"/>
      <c r="L881"/>
      <c r="M881"/>
      <c r="N881"/>
    </row>
    <row r="882" spans="1:25" x14ac:dyDescent="0.3">
      <c r="A882"/>
      <c r="B882"/>
      <c r="C882"/>
      <c r="D882" s="311" t="s">
        <v>815</v>
      </c>
      <c r="E882" s="311"/>
      <c r="F882" s="311"/>
      <c r="G882" s="311"/>
      <c r="H882" s="311"/>
      <c r="I882"/>
      <c r="J882"/>
      <c r="K882"/>
      <c r="L882"/>
      <c r="M882"/>
      <c r="N882"/>
      <c r="R882" s="318" t="s">
        <v>816</v>
      </c>
      <c r="S882" s="318"/>
      <c r="T882" s="318"/>
    </row>
    <row r="883" spans="1:25" ht="27.6" x14ac:dyDescent="0.3">
      <c r="A883" s="138"/>
      <c r="B883" s="139"/>
      <c r="C883" s="140"/>
      <c r="D883" s="141" t="s">
        <v>817</v>
      </c>
      <c r="E883" s="141" t="s">
        <v>818</v>
      </c>
      <c r="F883" s="141" t="s">
        <v>819</v>
      </c>
      <c r="G883" s="141" t="s">
        <v>820</v>
      </c>
      <c r="H883" s="141" t="s">
        <v>821</v>
      </c>
      <c r="I883" s="141" t="s">
        <v>822</v>
      </c>
      <c r="J883" s="141" t="s">
        <v>823</v>
      </c>
      <c r="K883" s="141" t="s">
        <v>824</v>
      </c>
      <c r="L883" s="141" t="s">
        <v>825</v>
      </c>
      <c r="M883" s="141" t="s">
        <v>826</v>
      </c>
      <c r="N883" s="141" t="s">
        <v>827</v>
      </c>
      <c r="Q883" s="142"/>
      <c r="R883" s="143" t="s">
        <v>828</v>
      </c>
      <c r="S883" s="143" t="s">
        <v>829</v>
      </c>
      <c r="T883" s="143" t="s">
        <v>830</v>
      </c>
      <c r="V883" s="317" t="s">
        <v>831</v>
      </c>
      <c r="W883" s="317"/>
      <c r="X883" s="311" t="s">
        <v>832</v>
      </c>
      <c r="Y883" s="311"/>
    </row>
    <row r="884" spans="1:25" x14ac:dyDescent="0.3">
      <c r="A884" s="181"/>
      <c r="B884" s="144" t="s">
        <v>775</v>
      </c>
      <c r="C884" s="179" t="s">
        <v>718</v>
      </c>
      <c r="D884" s="146">
        <v>3.6936082938856772E-2</v>
      </c>
      <c r="E884" s="146">
        <v>0.18995699797126339</v>
      </c>
      <c r="F884" s="146">
        <v>0.73872165877713558</v>
      </c>
      <c r="G884" s="146">
        <v>3.6197361280079643</v>
      </c>
      <c r="H884" s="146">
        <v>3.6936082938856772E-2</v>
      </c>
      <c r="I884" s="147">
        <v>1.3930179851225983</v>
      </c>
      <c r="J884" s="147">
        <v>0.63318999323754466</v>
      </c>
      <c r="K884" s="147">
        <v>0.84425332431672628</v>
      </c>
      <c r="L884" s="147">
        <v>0.50655199459003575</v>
      </c>
      <c r="M884" s="147">
        <v>1.2663799864750893</v>
      </c>
      <c r="N884" s="147">
        <v>1.6885066486334526</v>
      </c>
      <c r="Q884" s="179" t="s">
        <v>718</v>
      </c>
      <c r="R884" s="145">
        <v>0.16885066486334527</v>
      </c>
      <c r="S884" s="145">
        <v>0.34297791300367003</v>
      </c>
      <c r="T884" s="145">
        <v>0.51710516114399485</v>
      </c>
      <c r="V884" s="179" t="s">
        <v>718</v>
      </c>
      <c r="W884" s="187">
        <v>15</v>
      </c>
      <c r="X884" s="187">
        <v>21.34</v>
      </c>
      <c r="Y884">
        <f>X884/1000</f>
        <v>2.1340000000000001E-2</v>
      </c>
    </row>
    <row r="885" spans="1:25" x14ac:dyDescent="0.3">
      <c r="A885" s="181"/>
      <c r="B885" s="144" t="s">
        <v>775</v>
      </c>
      <c r="C885" s="179" t="s">
        <v>719</v>
      </c>
      <c r="D885" s="146">
        <v>3.6936082938856772E-2</v>
      </c>
      <c r="E885" s="146">
        <v>0.18995699797126339</v>
      </c>
      <c r="F885" s="146">
        <v>0.73872165877713558</v>
      </c>
      <c r="G885" s="146">
        <v>3.6197361280079643</v>
      </c>
      <c r="H885" s="146">
        <v>3.6936082938856772E-2</v>
      </c>
      <c r="I885" s="147">
        <v>1.3930179851225983</v>
      </c>
      <c r="J885" s="147">
        <v>0.63318999323754466</v>
      </c>
      <c r="K885" s="147">
        <v>0.84425332431672628</v>
      </c>
      <c r="L885" s="147">
        <v>0.50655199459003575</v>
      </c>
      <c r="M885" s="147">
        <v>1.2663799864750893</v>
      </c>
      <c r="N885" s="147">
        <v>1.6885066486334526</v>
      </c>
      <c r="Q885" s="179" t="s">
        <v>719</v>
      </c>
      <c r="R885" s="145">
        <v>0.16885066486334527</v>
      </c>
      <c r="S885" s="145">
        <v>0.34297791300367003</v>
      </c>
      <c r="T885" s="145">
        <v>0.51710516114399485</v>
      </c>
      <c r="V885" s="179" t="s">
        <v>719</v>
      </c>
      <c r="W885" s="187">
        <v>20</v>
      </c>
      <c r="X885" s="187">
        <v>26.67</v>
      </c>
      <c r="Y885">
        <f t="shared" ref="Y885:Y907" si="0">X885/1000</f>
        <v>2.6670000000000003E-2</v>
      </c>
    </row>
    <row r="886" spans="1:25" x14ac:dyDescent="0.3">
      <c r="A886" s="181"/>
      <c r="B886" s="144" t="s">
        <v>775</v>
      </c>
      <c r="C886" s="179">
        <v>1</v>
      </c>
      <c r="D886" s="146">
        <v>3.6936082938856772E-2</v>
      </c>
      <c r="E886" s="146">
        <v>0.18995699797126339</v>
      </c>
      <c r="F886" s="146">
        <v>0.73872165877713558</v>
      </c>
      <c r="G886" s="146">
        <v>3.6197361280079643</v>
      </c>
      <c r="H886" s="146">
        <v>3.6936082938856772E-2</v>
      </c>
      <c r="I886" s="147">
        <v>1.3930179851225983</v>
      </c>
      <c r="J886" s="147">
        <v>0.63318999323754466</v>
      </c>
      <c r="K886" s="147">
        <v>0.84425332431672628</v>
      </c>
      <c r="L886" s="147">
        <v>0.50655199459003575</v>
      </c>
      <c r="M886" s="147">
        <v>1.2663799864750893</v>
      </c>
      <c r="N886" s="147">
        <v>1.6885066486334526</v>
      </c>
      <c r="Q886" s="179">
        <v>1</v>
      </c>
      <c r="R886" s="145">
        <v>0.16885066486334527</v>
      </c>
      <c r="S886" s="145">
        <v>0.34297791300367003</v>
      </c>
      <c r="T886" s="145">
        <v>0.51710516114399485</v>
      </c>
      <c r="V886" s="179">
        <v>1</v>
      </c>
      <c r="W886" s="187">
        <v>25</v>
      </c>
      <c r="X886" s="187">
        <v>33.4</v>
      </c>
      <c r="Y886">
        <f t="shared" si="0"/>
        <v>3.3399999999999999E-2</v>
      </c>
    </row>
    <row r="887" spans="1:25" x14ac:dyDescent="0.3">
      <c r="A887" s="181"/>
      <c r="B887" s="144" t="s">
        <v>775</v>
      </c>
      <c r="C887" s="179" t="s">
        <v>720</v>
      </c>
      <c r="D887" s="146">
        <v>3.6936082938856772E-2</v>
      </c>
      <c r="E887" s="146">
        <v>0.18995699797126339</v>
      </c>
      <c r="F887" s="146">
        <v>0.73872165877713558</v>
      </c>
      <c r="G887" s="146">
        <v>3.6197361280079643</v>
      </c>
      <c r="H887" s="146">
        <v>3.6936082938856772E-2</v>
      </c>
      <c r="I887" s="147">
        <v>1.3930179851225983</v>
      </c>
      <c r="J887" s="147">
        <v>0.63318999323754466</v>
      </c>
      <c r="K887" s="147">
        <v>0.84425332431672628</v>
      </c>
      <c r="L887" s="147">
        <v>0.50655199459003575</v>
      </c>
      <c r="M887" s="147">
        <v>1.2663799864750893</v>
      </c>
      <c r="N887" s="147">
        <v>1.6885066486334526</v>
      </c>
      <c r="Q887" s="179" t="s">
        <v>720</v>
      </c>
      <c r="R887" s="145">
        <v>0.16885066486334527</v>
      </c>
      <c r="S887" s="145">
        <v>0.34297791300367003</v>
      </c>
      <c r="T887" s="145">
        <v>0.51710516114399485</v>
      </c>
      <c r="V887" s="179" t="s">
        <v>720</v>
      </c>
      <c r="W887" s="187">
        <v>40</v>
      </c>
      <c r="X887" s="187">
        <v>48.26</v>
      </c>
      <c r="Y887">
        <f t="shared" si="0"/>
        <v>4.8259999999999997E-2</v>
      </c>
    </row>
    <row r="888" spans="1:25" ht="15" thickBot="1" x14ac:dyDescent="0.35">
      <c r="A888" s="181"/>
      <c r="B888" s="144" t="s">
        <v>775</v>
      </c>
      <c r="C888" s="179">
        <v>2</v>
      </c>
      <c r="D888" s="146">
        <v>3.6936082938856772E-2</v>
      </c>
      <c r="E888" s="146">
        <v>0.18995699797126339</v>
      </c>
      <c r="F888" s="146">
        <v>0.73872165877713558</v>
      </c>
      <c r="G888" s="146">
        <v>3.6197361280079643</v>
      </c>
      <c r="H888" s="146">
        <v>3.6936082938856772E-2</v>
      </c>
      <c r="I888" s="147">
        <v>1.3930179851225983</v>
      </c>
      <c r="J888" s="147">
        <v>0.63318999323754466</v>
      </c>
      <c r="K888" s="147">
        <v>0.84425332431672628</v>
      </c>
      <c r="L888" s="147">
        <v>0.50655199459003575</v>
      </c>
      <c r="M888" s="147">
        <v>1.2663799864750893</v>
      </c>
      <c r="N888" s="147">
        <v>1.6885066486334526</v>
      </c>
      <c r="Q888" s="179">
        <v>2</v>
      </c>
      <c r="R888" s="145">
        <v>0.16885066486334527</v>
      </c>
      <c r="S888" s="145">
        <v>0.34297791300367003</v>
      </c>
      <c r="T888" s="145">
        <v>0.51710516114399485</v>
      </c>
      <c r="V888" s="179">
        <v>2</v>
      </c>
      <c r="W888" s="187">
        <v>50</v>
      </c>
      <c r="X888" s="187">
        <v>60.32</v>
      </c>
      <c r="Y888">
        <f t="shared" si="0"/>
        <v>6.0319999999999999E-2</v>
      </c>
    </row>
    <row r="889" spans="1:25" x14ac:dyDescent="0.3">
      <c r="A889" s="298" t="s">
        <v>833</v>
      </c>
      <c r="B889" s="144" t="s">
        <v>775</v>
      </c>
      <c r="C889" s="179" t="s">
        <v>721</v>
      </c>
      <c r="D889" s="146">
        <v>3.6936082938856772E-2</v>
      </c>
      <c r="E889" s="146">
        <v>0.18995699797126339</v>
      </c>
      <c r="F889" s="146">
        <v>0.73872165877713558</v>
      </c>
      <c r="G889" s="146">
        <v>3.6197361280079643</v>
      </c>
      <c r="H889" s="146">
        <v>3.6936082938856772E-2</v>
      </c>
      <c r="I889" s="147">
        <v>1.3930179851225983</v>
      </c>
      <c r="J889" s="147">
        <v>0.63318999323754466</v>
      </c>
      <c r="K889" s="147">
        <v>0.84425332431672628</v>
      </c>
      <c r="L889" s="147">
        <v>0.50655199459003575</v>
      </c>
      <c r="M889" s="147">
        <v>1.2663799864750893</v>
      </c>
      <c r="N889" s="147">
        <v>1.6885066486334526</v>
      </c>
      <c r="Q889" s="179" t="s">
        <v>721</v>
      </c>
      <c r="R889" s="148">
        <v>0.16885066486334527</v>
      </c>
      <c r="S889" s="148">
        <v>0.34297791300367003</v>
      </c>
      <c r="T889" s="148">
        <v>0.51710516114399485</v>
      </c>
      <c r="V889" s="179" t="s">
        <v>721</v>
      </c>
      <c r="W889" s="187">
        <v>65</v>
      </c>
      <c r="X889" s="187">
        <v>73.02</v>
      </c>
      <c r="Y889">
        <f t="shared" si="0"/>
        <v>7.3020000000000002E-2</v>
      </c>
    </row>
    <row r="890" spans="1:25" x14ac:dyDescent="0.3">
      <c r="A890" s="299"/>
      <c r="B890" s="144" t="s">
        <v>775</v>
      </c>
      <c r="C890" s="179">
        <v>3</v>
      </c>
      <c r="D890" s="146">
        <v>2.5063770565652812E-2</v>
      </c>
      <c r="E890" s="146">
        <v>0.15038262339391689</v>
      </c>
      <c r="F890" s="146">
        <v>0.58720833896672309</v>
      </c>
      <c r="G890" s="146">
        <v>2.8680114604411293</v>
      </c>
      <c r="H890" s="146">
        <v>3.5805386522361163E-2</v>
      </c>
      <c r="I890" s="147">
        <v>1.1028059048887238</v>
      </c>
      <c r="J890" s="147">
        <v>0.50127541131305631</v>
      </c>
      <c r="K890" s="147">
        <v>0.66956072796815369</v>
      </c>
      <c r="L890" s="147">
        <v>0.40102032905044499</v>
      </c>
      <c r="M890" s="147">
        <v>1.0025508226261126</v>
      </c>
      <c r="N890" s="147">
        <v>1.3355409172840713</v>
      </c>
      <c r="Q890" s="179">
        <v>3</v>
      </c>
      <c r="R890" s="149">
        <v>0.13247993013273629</v>
      </c>
      <c r="S890" s="149">
        <v>0.27212093756994482</v>
      </c>
      <c r="T890" s="149">
        <v>0.41176194500715335</v>
      </c>
      <c r="V890" s="179">
        <v>3</v>
      </c>
      <c r="W890" s="187">
        <v>80</v>
      </c>
      <c r="X890" s="187">
        <v>88.9</v>
      </c>
      <c r="Y890">
        <f t="shared" si="0"/>
        <v>8.8900000000000007E-2</v>
      </c>
    </row>
    <row r="891" spans="1:25" x14ac:dyDescent="0.3">
      <c r="A891" s="299"/>
      <c r="B891" s="144" t="s">
        <v>775</v>
      </c>
      <c r="C891" s="179">
        <v>4</v>
      </c>
      <c r="D891" s="146">
        <v>2.7243228875709579E-2</v>
      </c>
      <c r="E891" s="146">
        <v>0.13076749860340597</v>
      </c>
      <c r="F891" s="146">
        <v>0.50944837997576908</v>
      </c>
      <c r="G891" s="146">
        <v>2.4900311192398554</v>
      </c>
      <c r="H891" s="146">
        <v>2.7243228875709579E-2</v>
      </c>
      <c r="I891" s="147">
        <v>0.9589616564249771</v>
      </c>
      <c r="J891" s="147">
        <v>0.43589166201135326</v>
      </c>
      <c r="K891" s="147">
        <v>0.580280775052614</v>
      </c>
      <c r="L891" s="147">
        <v>0.34871332960908258</v>
      </c>
      <c r="M891" s="147">
        <v>0.87178332402270653</v>
      </c>
      <c r="N891" s="147">
        <v>1.1632858729927988</v>
      </c>
      <c r="Q891" s="179">
        <v>4</v>
      </c>
      <c r="R891" s="149">
        <v>0.11714588416555118</v>
      </c>
      <c r="S891" s="149">
        <v>0.23701609121867331</v>
      </c>
      <c r="T891" s="149">
        <v>0.35688629827179547</v>
      </c>
      <c r="V891" s="179">
        <v>4</v>
      </c>
      <c r="W891" s="187">
        <v>100</v>
      </c>
      <c r="X891" s="187">
        <v>114.3</v>
      </c>
      <c r="Y891">
        <f t="shared" si="0"/>
        <v>0.1143</v>
      </c>
    </row>
    <row r="892" spans="1:25" x14ac:dyDescent="0.3">
      <c r="A892" s="299"/>
      <c r="B892" s="144" t="s">
        <v>775</v>
      </c>
      <c r="C892" s="179">
        <v>6</v>
      </c>
      <c r="D892" s="146">
        <v>1.8916053257096461E-2</v>
      </c>
      <c r="E892" s="146">
        <v>0.12484595149683664</v>
      </c>
      <c r="F892" s="146">
        <v>0.48614256870737904</v>
      </c>
      <c r="G892" s="146">
        <v>2.3777478944170247</v>
      </c>
      <c r="H892" s="146">
        <v>0.11160471421686911</v>
      </c>
      <c r="I892" s="147">
        <v>0.91553697764346864</v>
      </c>
      <c r="J892" s="147">
        <v>0.41615317165612215</v>
      </c>
      <c r="K892" s="147">
        <v>0.55424036043292624</v>
      </c>
      <c r="L892" s="147">
        <v>0.33292253732489768</v>
      </c>
      <c r="M892" s="147">
        <v>0.83230634331224429</v>
      </c>
      <c r="N892" s="147">
        <v>1.1103723261915621</v>
      </c>
      <c r="Q892" s="179">
        <v>6</v>
      </c>
      <c r="R892" s="149">
        <v>0.10971310889115947</v>
      </c>
      <c r="S892" s="149">
        <v>0.22699263908515752</v>
      </c>
      <c r="T892" s="149">
        <v>0.34048895862773626</v>
      </c>
      <c r="V892" s="179">
        <v>6</v>
      </c>
      <c r="W892" s="187">
        <v>150</v>
      </c>
      <c r="X892" s="187">
        <v>168.28</v>
      </c>
      <c r="Y892">
        <f t="shared" si="0"/>
        <v>0.16828000000000001</v>
      </c>
    </row>
    <row r="893" spans="1:25" x14ac:dyDescent="0.3">
      <c r="A893" s="299"/>
      <c r="B893" s="144" t="s">
        <v>775</v>
      </c>
      <c r="C893" s="179">
        <v>8</v>
      </c>
      <c r="D893" s="146">
        <v>1.8888638687158638E-2</v>
      </c>
      <c r="E893" s="146">
        <v>0.12204966536317891</v>
      </c>
      <c r="F893" s="146">
        <v>0.47512191159237505</v>
      </c>
      <c r="G893" s="146">
        <v>2.3262085029339215</v>
      </c>
      <c r="H893" s="146">
        <v>0.11478480432965635</v>
      </c>
      <c r="I893" s="147">
        <v>0.8950308793299786</v>
      </c>
      <c r="J893" s="147">
        <v>0.40683221787726304</v>
      </c>
      <c r="K893" s="147">
        <v>0.54195863310078252</v>
      </c>
      <c r="L893" s="147">
        <v>0.3254657743018104</v>
      </c>
      <c r="M893" s="147">
        <v>0.81366443575452607</v>
      </c>
      <c r="N893" s="147">
        <v>1.0853702384082695</v>
      </c>
      <c r="Q893" s="179">
        <v>8</v>
      </c>
      <c r="R893" s="149">
        <v>0.10751994329613379</v>
      </c>
      <c r="S893" s="149">
        <v>0.22230474762579014</v>
      </c>
      <c r="T893" s="149">
        <v>0.33273063533533298</v>
      </c>
      <c r="V893" s="179">
        <v>8</v>
      </c>
      <c r="W893" s="187">
        <v>200</v>
      </c>
      <c r="X893" s="187">
        <v>219.08</v>
      </c>
      <c r="Y893">
        <f t="shared" si="0"/>
        <v>0.21908000000000002</v>
      </c>
    </row>
    <row r="894" spans="1:25" x14ac:dyDescent="0.3">
      <c r="A894" s="299"/>
      <c r="B894" s="144" t="s">
        <v>775</v>
      </c>
      <c r="C894" s="179">
        <v>10</v>
      </c>
      <c r="D894" s="146">
        <v>2.3315135409909593E-2</v>
      </c>
      <c r="E894" s="146">
        <v>0.11890719059053891</v>
      </c>
      <c r="F894" s="146">
        <v>0.46280543788670542</v>
      </c>
      <c r="G894" s="146">
        <v>2.2638996483022211</v>
      </c>
      <c r="H894" s="146">
        <v>0.114244163508557</v>
      </c>
      <c r="I894" s="147">
        <v>0.87198606433061865</v>
      </c>
      <c r="J894" s="147">
        <v>0.39635730196846308</v>
      </c>
      <c r="K894" s="147">
        <v>0.52808781703445229</v>
      </c>
      <c r="L894" s="147">
        <v>0.31708584157477043</v>
      </c>
      <c r="M894" s="147">
        <v>0.79271460393692617</v>
      </c>
      <c r="N894" s="147">
        <v>1.0573413908394</v>
      </c>
      <c r="Q894" s="179">
        <v>10</v>
      </c>
      <c r="R894" s="149">
        <v>0.10491810934459316</v>
      </c>
      <c r="S894" s="149">
        <v>0.21566500254166371</v>
      </c>
      <c r="T894" s="149">
        <v>0.32408038219774332</v>
      </c>
      <c r="V894" s="179">
        <v>10</v>
      </c>
      <c r="W894" s="187">
        <v>250</v>
      </c>
      <c r="X894" s="187">
        <v>273.05</v>
      </c>
      <c r="Y894">
        <f t="shared" si="0"/>
        <v>0.27305000000000001</v>
      </c>
    </row>
    <row r="895" spans="1:25" x14ac:dyDescent="0.3">
      <c r="A895" s="299"/>
      <c r="B895" s="144" t="s">
        <v>775</v>
      </c>
      <c r="C895" s="179">
        <v>12</v>
      </c>
      <c r="D895" s="146">
        <v>2.5555217047332272E-2</v>
      </c>
      <c r="E895" s="146">
        <v>0.11794715560307203</v>
      </c>
      <c r="F895" s="146">
        <v>0.45901101388862203</v>
      </c>
      <c r="G895" s="146">
        <v>2.2439446353484453</v>
      </c>
      <c r="H895" s="146">
        <v>0.11008401189620057</v>
      </c>
      <c r="I895" s="147">
        <v>0.86494580775586161</v>
      </c>
      <c r="J895" s="147">
        <v>0.39315718534357347</v>
      </c>
      <c r="K895" s="147">
        <v>0.52388194947031164</v>
      </c>
      <c r="L895" s="147">
        <v>0.31452574827485874</v>
      </c>
      <c r="M895" s="147">
        <v>0.78631437068714694</v>
      </c>
      <c r="N895" s="147">
        <v>1.0487467919039821</v>
      </c>
      <c r="Q895" s="179">
        <v>12</v>
      </c>
      <c r="R895" s="149">
        <v>0.10418665411604697</v>
      </c>
      <c r="S895" s="149">
        <v>0.21427066601224753</v>
      </c>
      <c r="T895" s="149">
        <v>0.3214059990183713</v>
      </c>
      <c r="V895" s="179">
        <v>12</v>
      </c>
      <c r="W895" s="187">
        <v>300</v>
      </c>
      <c r="X895" s="187">
        <v>323.85000000000002</v>
      </c>
      <c r="Y895">
        <f t="shared" si="0"/>
        <v>0.32385000000000003</v>
      </c>
    </row>
    <row r="896" spans="1:25" x14ac:dyDescent="0.3">
      <c r="A896" s="299"/>
      <c r="B896" s="144" t="s">
        <v>775</v>
      </c>
      <c r="C896" s="179">
        <v>14</v>
      </c>
      <c r="D896" s="146">
        <v>2.6854039891770869E-2</v>
      </c>
      <c r="E896" s="146">
        <v>0.12084317951296893</v>
      </c>
      <c r="F896" s="146">
        <v>0.47084083276904926</v>
      </c>
      <c r="G896" s="146">
        <v>2.3022863533878226</v>
      </c>
      <c r="H896" s="146">
        <v>0.11189183288237863</v>
      </c>
      <c r="I896" s="147">
        <v>0.88618331642843873</v>
      </c>
      <c r="J896" s="147">
        <v>0.40281059837656308</v>
      </c>
      <c r="K896" s="147">
        <v>0.5370807978354174</v>
      </c>
      <c r="L896" s="147">
        <v>0.32224847870125045</v>
      </c>
      <c r="M896" s="147">
        <v>0.80562119675312616</v>
      </c>
      <c r="N896" s="147">
        <v>1.0741615956708348</v>
      </c>
      <c r="Q896" s="179">
        <v>14</v>
      </c>
      <c r="R896" s="149">
        <v>0.10741615956708347</v>
      </c>
      <c r="S896" s="149">
        <v>0.21930799244946211</v>
      </c>
      <c r="T896" s="149">
        <v>0.32940955600572269</v>
      </c>
      <c r="V896" s="179">
        <v>14</v>
      </c>
      <c r="W896" s="187">
        <v>350</v>
      </c>
      <c r="X896" s="187">
        <v>355.6</v>
      </c>
      <c r="Y896">
        <f t="shared" si="0"/>
        <v>0.35560000000000003</v>
      </c>
    </row>
    <row r="897" spans="1:25" x14ac:dyDescent="0.3">
      <c r="A897" s="299"/>
      <c r="B897" s="144" t="s">
        <v>775</v>
      </c>
      <c r="C897" s="179">
        <v>16</v>
      </c>
      <c r="D897" s="146">
        <v>2.3497284905299509E-2</v>
      </c>
      <c r="E897" s="146">
        <v>0.11748642452649755</v>
      </c>
      <c r="F897" s="146">
        <v>0.45741381282316373</v>
      </c>
      <c r="G897" s="146">
        <v>2.2385080086448665</v>
      </c>
      <c r="H897" s="146">
        <v>0.10808751056437775</v>
      </c>
      <c r="I897" s="147">
        <v>0.86156711319431545</v>
      </c>
      <c r="J897" s="147">
        <v>0.39162141508832515</v>
      </c>
      <c r="K897" s="147">
        <v>0.52242296772782582</v>
      </c>
      <c r="L897" s="147">
        <v>0.31329713207066012</v>
      </c>
      <c r="M897" s="147">
        <v>0.78324283017665031</v>
      </c>
      <c r="N897" s="147">
        <v>1.0440626926254748</v>
      </c>
      <c r="Q897" s="179">
        <v>16</v>
      </c>
      <c r="R897" s="149">
        <v>0.1041712964134945</v>
      </c>
      <c r="S897" s="149">
        <v>0.21382529263822556</v>
      </c>
      <c r="T897" s="149">
        <v>0.32034631754224996</v>
      </c>
      <c r="V897" s="179">
        <v>16</v>
      </c>
      <c r="W897" s="187">
        <v>400</v>
      </c>
      <c r="X897" s="187">
        <v>406.4</v>
      </c>
      <c r="Y897">
        <f t="shared" si="0"/>
        <v>0.40639999999999998</v>
      </c>
    </row>
    <row r="898" spans="1:25" x14ac:dyDescent="0.3">
      <c r="A898" s="299"/>
      <c r="B898" s="144" t="s">
        <v>775</v>
      </c>
      <c r="C898" s="179">
        <v>18</v>
      </c>
      <c r="D898" s="146">
        <v>2.2975123018515075E-2</v>
      </c>
      <c r="E898" s="146">
        <v>0.11487561509257538</v>
      </c>
      <c r="F898" s="146">
        <v>0.44697057508747506</v>
      </c>
      <c r="G898" s="146">
        <v>2.1882064135512991</v>
      </c>
      <c r="H898" s="146">
        <v>0.10930588830020808</v>
      </c>
      <c r="I898" s="147">
        <v>0.84242117734555266</v>
      </c>
      <c r="J898" s="147">
        <v>0.38291871697525126</v>
      </c>
      <c r="K898" s="147">
        <v>0.51032621735065298</v>
      </c>
      <c r="L898" s="147">
        <v>0.30633497358020101</v>
      </c>
      <c r="M898" s="147">
        <v>0.76583743395050252</v>
      </c>
      <c r="N898" s="147">
        <v>1.021348650550352</v>
      </c>
      <c r="Q898" s="179">
        <v>18</v>
      </c>
      <c r="R898" s="149">
        <v>0.10164751396070305</v>
      </c>
      <c r="S898" s="149">
        <v>0.20886475471377339</v>
      </c>
      <c r="T898" s="149">
        <v>0.31329713207066012</v>
      </c>
      <c r="V898" s="179">
        <v>18</v>
      </c>
      <c r="W898" s="187">
        <v>450</v>
      </c>
      <c r="X898" s="187">
        <v>457.2</v>
      </c>
      <c r="Y898">
        <f t="shared" si="0"/>
        <v>0.4572</v>
      </c>
    </row>
    <row r="899" spans="1:25" x14ac:dyDescent="0.3">
      <c r="A899" s="299"/>
      <c r="B899" s="144" t="s">
        <v>775</v>
      </c>
      <c r="C899" s="179">
        <v>20</v>
      </c>
      <c r="D899" s="146">
        <v>2.2557393509087528E-2</v>
      </c>
      <c r="E899" s="146">
        <v>0.11278696754543764</v>
      </c>
      <c r="F899" s="146">
        <v>0.43924257916306547</v>
      </c>
      <c r="G899" s="146">
        <v>2.1479651374764459</v>
      </c>
      <c r="H899" s="146">
        <v>0.10714761916816577</v>
      </c>
      <c r="I899" s="147">
        <v>0.82710442866654277</v>
      </c>
      <c r="J899" s="147">
        <v>0.37595655848479215</v>
      </c>
      <c r="K899" s="147">
        <v>0.5012754113130562</v>
      </c>
      <c r="L899" s="147">
        <v>0.30076524678783373</v>
      </c>
      <c r="M899" s="147">
        <v>0.75191311696958429</v>
      </c>
      <c r="N899" s="147">
        <v>1.0025508226261124</v>
      </c>
      <c r="Q899" s="179">
        <v>20</v>
      </c>
      <c r="R899" s="149">
        <v>9.962848799846992E-2</v>
      </c>
      <c r="S899" s="149">
        <v>0.20489632437421174</v>
      </c>
      <c r="T899" s="149">
        <v>0.30765778369338825</v>
      </c>
      <c r="V899" s="179">
        <v>20</v>
      </c>
      <c r="W899" s="187">
        <v>500</v>
      </c>
      <c r="X899" s="187">
        <v>508</v>
      </c>
      <c r="Y899">
        <f t="shared" si="0"/>
        <v>0.50800000000000001</v>
      </c>
    </row>
    <row r="900" spans="1:25" x14ac:dyDescent="0.3">
      <c r="A900" s="299"/>
      <c r="B900" s="144" t="s">
        <v>775</v>
      </c>
      <c r="C900" s="179">
        <v>24</v>
      </c>
      <c r="D900" s="146">
        <v>2.2452961131730641E-2</v>
      </c>
      <c r="E900" s="146">
        <v>0.10965399622473104</v>
      </c>
      <c r="F900" s="146">
        <v>0.42712842338966661</v>
      </c>
      <c r="G900" s="146">
        <v>2.0881253852509496</v>
      </c>
      <c r="H900" s="146">
        <v>0.10286589169653342</v>
      </c>
      <c r="I900" s="147">
        <v>0.80412930564802765</v>
      </c>
      <c r="J900" s="147">
        <v>0.36551332074910348</v>
      </c>
      <c r="K900" s="147">
        <v>0.48717704036987652</v>
      </c>
      <c r="L900" s="147">
        <v>0.29241065659928284</v>
      </c>
      <c r="M900" s="147">
        <v>0.73102664149820695</v>
      </c>
      <c r="N900" s="147">
        <v>0.97487624262653738</v>
      </c>
      <c r="Q900" s="179">
        <v>24</v>
      </c>
      <c r="R900" s="149">
        <v>9.7122110941904635E-2</v>
      </c>
      <c r="S900" s="149">
        <v>0.19946584075165361</v>
      </c>
      <c r="T900" s="149">
        <v>0.29919876112748039</v>
      </c>
      <c r="V900" s="179">
        <v>24</v>
      </c>
      <c r="W900" s="187">
        <v>600</v>
      </c>
      <c r="X900" s="187">
        <v>609.4</v>
      </c>
      <c r="Y900">
        <f t="shared" si="0"/>
        <v>0.60939999999999994</v>
      </c>
    </row>
    <row r="901" spans="1:25" x14ac:dyDescent="0.3">
      <c r="A901" s="299"/>
      <c r="B901" s="144" t="s">
        <v>775</v>
      </c>
      <c r="C901" s="179">
        <v>26</v>
      </c>
      <c r="D901" s="146">
        <v>2.0725810275443669E-2</v>
      </c>
      <c r="E901" s="146">
        <v>0.10844900725522851</v>
      </c>
      <c r="F901" s="146">
        <v>0.42174613932588861</v>
      </c>
      <c r="G901" s="146">
        <v>2.0619771246127443</v>
      </c>
      <c r="H901" s="146">
        <v>0.10121907343821326</v>
      </c>
      <c r="I901" s="147">
        <v>0.7952927198716756</v>
      </c>
      <c r="J901" s="147">
        <v>0.36149669085076164</v>
      </c>
      <c r="K901" s="147">
        <v>0.48199558780101553</v>
      </c>
      <c r="L901" s="147">
        <v>0.28919735268060931</v>
      </c>
      <c r="M901" s="147">
        <v>0.72299338170152327</v>
      </c>
      <c r="N901" s="147">
        <v>0.96881113148004117</v>
      </c>
      <c r="Q901" s="179">
        <v>26</v>
      </c>
      <c r="R901" s="149">
        <v>9.6881113148004128E-2</v>
      </c>
      <c r="S901" s="149">
        <v>0.19858218217401841</v>
      </c>
      <c r="T901" s="149">
        <v>0.29835526884882863</v>
      </c>
      <c r="V901" s="179">
        <v>26</v>
      </c>
      <c r="W901" s="187">
        <v>650</v>
      </c>
      <c r="X901" s="187">
        <v>660.4</v>
      </c>
      <c r="Y901">
        <f t="shared" si="0"/>
        <v>0.66039999999999999</v>
      </c>
    </row>
    <row r="902" spans="1:25" x14ac:dyDescent="0.3">
      <c r="A902" s="299"/>
      <c r="B902" s="144" t="s">
        <v>775</v>
      </c>
      <c r="C902" s="179">
        <v>28</v>
      </c>
      <c r="D902" s="146">
        <v>2.0588097250357668E-2</v>
      </c>
      <c r="E902" s="146">
        <v>0.10920642889320153</v>
      </c>
      <c r="F902" s="146">
        <v>0.42429383028997975</v>
      </c>
      <c r="G902" s="146">
        <v>2.0762648509654178</v>
      </c>
      <c r="H902" s="146">
        <v>0.10115021692567028</v>
      </c>
      <c r="I902" s="147">
        <v>0.7877185034919455</v>
      </c>
      <c r="J902" s="147">
        <v>0.36252953853890679</v>
      </c>
      <c r="K902" s="147">
        <v>0.4833727180518757</v>
      </c>
      <c r="L902" s="147">
        <v>0.2864430921788893</v>
      </c>
      <c r="M902" s="147">
        <v>0.7161077304472232</v>
      </c>
      <c r="N902" s="147">
        <v>0.96674543610375141</v>
      </c>
      <c r="Q902" s="179">
        <v>28</v>
      </c>
      <c r="R902" s="149">
        <v>9.7569678273434157E-2</v>
      </c>
      <c r="S902" s="149">
        <v>0.20006259719369299</v>
      </c>
      <c r="T902" s="149">
        <v>0.29987011212477471</v>
      </c>
      <c r="V902" s="179">
        <v>28</v>
      </c>
      <c r="W902" s="187">
        <v>700</v>
      </c>
      <c r="X902" s="187">
        <v>711.2</v>
      </c>
      <c r="Y902">
        <f t="shared" si="0"/>
        <v>0.71120000000000005</v>
      </c>
    </row>
    <row r="903" spans="1:25" x14ac:dyDescent="0.3">
      <c r="A903" s="299"/>
      <c r="B903" s="144" t="s">
        <v>775</v>
      </c>
      <c r="C903" s="179">
        <v>30</v>
      </c>
      <c r="D903" s="146">
        <v>2.0468745961949798E-2</v>
      </c>
      <c r="E903" s="146">
        <v>0.10652102490402444</v>
      </c>
      <c r="F903" s="146">
        <v>0.41480540286155404</v>
      </c>
      <c r="G903" s="146">
        <v>2.0284944977801675</v>
      </c>
      <c r="H903" s="146">
        <v>0.10025508226261123</v>
      </c>
      <c r="I903" s="147">
        <v>0.78115418262951264</v>
      </c>
      <c r="J903" s="147">
        <v>0.35507008301341481</v>
      </c>
      <c r="K903" s="147">
        <v>0.47328753418141056</v>
      </c>
      <c r="L903" s="147">
        <v>0.28405606641073189</v>
      </c>
      <c r="M903" s="147">
        <v>0.71014016602682961</v>
      </c>
      <c r="N903" s="147">
        <v>0.94699279787224866</v>
      </c>
      <c r="Q903" s="179">
        <v>30</v>
      </c>
      <c r="R903" s="149">
        <v>9.4406869130625584E-2</v>
      </c>
      <c r="S903" s="149">
        <v>0.19382649237438174</v>
      </c>
      <c r="T903" s="149">
        <v>0.29032200905214506</v>
      </c>
      <c r="V903" s="179">
        <v>30</v>
      </c>
      <c r="W903" s="187">
        <v>750</v>
      </c>
      <c r="X903" s="187">
        <v>762</v>
      </c>
      <c r="Y903">
        <f t="shared" si="0"/>
        <v>0.76200000000000001</v>
      </c>
    </row>
    <row r="904" spans="1:25" x14ac:dyDescent="0.3">
      <c r="A904" s="299"/>
      <c r="B904" s="144" t="s">
        <v>775</v>
      </c>
      <c r="C904" s="179">
        <v>32</v>
      </c>
      <c r="D904" s="146">
        <v>2.0364313584592907E-2</v>
      </c>
      <c r="E904" s="146">
        <v>0.10652102490402444</v>
      </c>
      <c r="F904" s="146">
        <v>0.41433545716344805</v>
      </c>
      <c r="G904" s="146">
        <v>2.0274240659122591</v>
      </c>
      <c r="H904" s="146">
        <v>9.9080218017346261E-2</v>
      </c>
      <c r="I904" s="147">
        <v>0.79694957970474178</v>
      </c>
      <c r="J904" s="147">
        <v>0.36420791603214242</v>
      </c>
      <c r="K904" s="147">
        <v>0.47386191225687341</v>
      </c>
      <c r="L904" s="147">
        <v>0.28979984716536061</v>
      </c>
      <c r="M904" s="147">
        <v>0.72449961791340156</v>
      </c>
      <c r="N904" s="147">
        <v>0.94380761036286365</v>
      </c>
      <c r="Q904" s="179">
        <v>32</v>
      </c>
      <c r="R904" s="149">
        <v>9.4380761036286356E-2</v>
      </c>
      <c r="S904" s="149">
        <v>0.19385260046872094</v>
      </c>
      <c r="T904" s="149">
        <v>0.29058308999553728</v>
      </c>
      <c r="V904" s="179">
        <v>32</v>
      </c>
      <c r="W904" s="187">
        <v>800</v>
      </c>
      <c r="X904" s="187">
        <v>812.8</v>
      </c>
      <c r="Y904">
        <f t="shared" si="0"/>
        <v>0.81279999999999997</v>
      </c>
    </row>
    <row r="905" spans="1:25" x14ac:dyDescent="0.3">
      <c r="A905" s="299"/>
      <c r="B905" s="144" t="s">
        <v>775</v>
      </c>
      <c r="C905" s="179">
        <v>36</v>
      </c>
      <c r="D905" s="146">
        <v>2.0538367546854383E-2</v>
      </c>
      <c r="E905" s="146">
        <v>0.10443237735688669</v>
      </c>
      <c r="F905" s="146">
        <v>0.40659005584281221</v>
      </c>
      <c r="G905" s="146">
        <v>1.9883924648751228</v>
      </c>
      <c r="H905" s="146">
        <v>9.7122110941904635E-2</v>
      </c>
      <c r="I905" s="147">
        <v>0.76583743395050252</v>
      </c>
      <c r="J905" s="147">
        <v>0.34810792452295569</v>
      </c>
      <c r="K905" s="147">
        <v>0.4640278633890999</v>
      </c>
      <c r="L905" s="147">
        <v>0.27848633961836455</v>
      </c>
      <c r="M905" s="147">
        <v>0.69621584904591138</v>
      </c>
      <c r="N905" s="147">
        <v>0.9284038347027227</v>
      </c>
      <c r="Q905" s="179">
        <v>36</v>
      </c>
      <c r="R905" s="149">
        <v>9.2596707923106217E-2</v>
      </c>
      <c r="S905" s="149">
        <v>0.18971881886501085</v>
      </c>
      <c r="T905" s="149">
        <v>0.28475228225977772</v>
      </c>
      <c r="V905" s="179">
        <v>36</v>
      </c>
      <c r="W905" s="187">
        <v>900</v>
      </c>
      <c r="X905" s="187">
        <v>914.4</v>
      </c>
      <c r="Y905">
        <f t="shared" si="0"/>
        <v>0.91439999999999999</v>
      </c>
    </row>
    <row r="906" spans="1:25" x14ac:dyDescent="0.3">
      <c r="A906" s="299"/>
      <c r="B906" s="144" t="s">
        <v>775</v>
      </c>
      <c r="C906" s="179">
        <v>42</v>
      </c>
      <c r="D906" s="146">
        <v>2.0588097250357665E-2</v>
      </c>
      <c r="E906" s="146">
        <v>0.10711778134606378</v>
      </c>
      <c r="F906" s="146">
        <v>0.41713275298550745</v>
      </c>
      <c r="G906" s="146">
        <v>2.0421005446586649</v>
      </c>
      <c r="H906" s="146">
        <v>9.9956704041591571E-2</v>
      </c>
      <c r="I906" s="147">
        <v>0.78562985594480772</v>
      </c>
      <c r="J906" s="147">
        <v>0.35715873056055253</v>
      </c>
      <c r="K906" s="147">
        <v>0.47680839718944273</v>
      </c>
      <c r="L906" s="147">
        <v>0.28584633573684987</v>
      </c>
      <c r="M906" s="147">
        <v>0.71431746112110506</v>
      </c>
      <c r="N906" s="147">
        <v>0.95361679437888547</v>
      </c>
      <c r="Q906" s="179">
        <v>42</v>
      </c>
      <c r="R906" s="149">
        <v>9.4884274284257067E-2</v>
      </c>
      <c r="S906" s="149">
        <v>0.19454260010482896</v>
      </c>
      <c r="T906" s="149">
        <v>0.29211227837826309</v>
      </c>
      <c r="V906" s="179">
        <v>42</v>
      </c>
      <c r="W906" s="187">
        <v>1100</v>
      </c>
      <c r="X906" s="187">
        <v>1066.8</v>
      </c>
      <c r="Y906">
        <f t="shared" si="0"/>
        <v>1.0668</v>
      </c>
    </row>
    <row r="907" spans="1:25" x14ac:dyDescent="0.3">
      <c r="A907" s="299"/>
      <c r="B907" s="144" t="s">
        <v>775</v>
      </c>
      <c r="C907" s="179">
        <v>48</v>
      </c>
      <c r="D907" s="146">
        <v>1.9581070754416258E-2</v>
      </c>
      <c r="E907" s="146">
        <v>9.9994001319219025E-2</v>
      </c>
      <c r="F907" s="146">
        <v>0.38927168659779521</v>
      </c>
      <c r="G907" s="146">
        <v>1.9032800773292602</v>
      </c>
      <c r="H907" s="146">
        <v>9.3466977734413606E-2</v>
      </c>
      <c r="I907" s="147">
        <v>0.73285420810195245</v>
      </c>
      <c r="J907" s="147">
        <v>0.33313928376846863</v>
      </c>
      <c r="K907" s="147">
        <v>0.44462084659694517</v>
      </c>
      <c r="L907" s="147">
        <v>0.26656364320345327</v>
      </c>
      <c r="M907" s="147">
        <v>0.66627856753693726</v>
      </c>
      <c r="N907" s="147">
        <v>0.88950277413728251</v>
      </c>
      <c r="Q907" s="179">
        <v>48</v>
      </c>
      <c r="R907" s="149">
        <v>8.8506439809961493E-2</v>
      </c>
      <c r="S907" s="149">
        <v>0.18145125565759065</v>
      </c>
      <c r="T907" s="149">
        <v>0.27256850490147433</v>
      </c>
      <c r="V907" s="179">
        <v>48</v>
      </c>
      <c r="W907" s="187">
        <v>1200</v>
      </c>
      <c r="X907" s="187">
        <v>1219.2</v>
      </c>
      <c r="Y907">
        <f t="shared" si="0"/>
        <v>1.2192000000000001</v>
      </c>
    </row>
    <row r="908" spans="1:25" x14ac:dyDescent="0.3">
      <c r="A908" s="299"/>
      <c r="B908" s="144" t="s">
        <v>775</v>
      </c>
      <c r="C908" s="150" t="s">
        <v>834</v>
      </c>
      <c r="D908" s="151">
        <v>1.902989987392158E-2</v>
      </c>
      <c r="E908" s="151">
        <v>9.7702290816109566E-2</v>
      </c>
      <c r="F908" s="151">
        <v>0.38059799747843154</v>
      </c>
      <c r="G908" s="151">
        <v>1.8623773961978132</v>
      </c>
      <c r="H908" s="151">
        <v>9.1436348174696369E-2</v>
      </c>
      <c r="I908" s="152">
        <v>0.71663818061792484</v>
      </c>
      <c r="J908" s="152">
        <v>0.32582901735348652</v>
      </c>
      <c r="K908" s="152">
        <v>0.43490283370401267</v>
      </c>
      <c r="L908" s="152">
        <v>0.26061679949285282</v>
      </c>
      <c r="M908" s="152">
        <v>0.65142596275729114</v>
      </c>
      <c r="N908" s="152">
        <v>0.86957359545834334</v>
      </c>
      <c r="O908" s="153"/>
      <c r="P908" s="153"/>
      <c r="Q908" s="150" t="s">
        <v>834</v>
      </c>
      <c r="R908" s="154">
        <v>8.6562837231374978E-2</v>
      </c>
      <c r="S908" s="154">
        <v>0.1775350415067074</v>
      </c>
      <c r="T908" s="154">
        <v>0.26641859823490205</v>
      </c>
    </row>
    <row r="909" spans="1:25" ht="15" thickBot="1" x14ac:dyDescent="0.35">
      <c r="A909" s="300"/>
      <c r="B909" s="155" t="s">
        <v>775</v>
      </c>
      <c r="C909" s="156" t="s">
        <v>835</v>
      </c>
      <c r="D909" s="157">
        <v>1.9229961899509481E-2</v>
      </c>
      <c r="E909" s="157">
        <v>9.8742613349166675E-2</v>
      </c>
      <c r="F909" s="157">
        <v>0.38481530497782457</v>
      </c>
      <c r="G909" s="157">
        <v>1.8812952613374054</v>
      </c>
      <c r="H909" s="157">
        <v>9.2260603720118531E-2</v>
      </c>
      <c r="I909" s="158">
        <v>0.72468867652758207</v>
      </c>
      <c r="J909" s="158">
        <v>0.32950215614328043</v>
      </c>
      <c r="K909" s="158">
        <v>0.43991238682473383</v>
      </c>
      <c r="L909" s="158">
        <v>0.26360172491462436</v>
      </c>
      <c r="M909" s="158">
        <v>0.65878824529892599</v>
      </c>
      <c r="N909" s="158">
        <v>0.87939263967419778</v>
      </c>
      <c r="O909" s="153"/>
      <c r="P909" s="153"/>
      <c r="Q909" s="156" t="s">
        <v>835</v>
      </c>
      <c r="R909" s="159">
        <v>8.772319697978484E-2</v>
      </c>
      <c r="S909" s="159">
        <v>0.17955166672463349</v>
      </c>
      <c r="T909" s="159">
        <v>0.26943553358076772</v>
      </c>
    </row>
    <row r="910" spans="1:25" ht="15" thickBot="1" x14ac:dyDescent="0.35">
      <c r="A910" s="160"/>
      <c r="B910" s="160"/>
      <c r="C910" s="161"/>
      <c r="D910" s="301"/>
      <c r="E910" s="301"/>
      <c r="F910" s="301"/>
      <c r="G910" s="301"/>
      <c r="H910" s="301"/>
      <c r="I910"/>
      <c r="J910"/>
      <c r="K910"/>
      <c r="L910"/>
      <c r="M910"/>
      <c r="N910"/>
      <c r="Q910" s="162"/>
      <c r="R910" s="163"/>
      <c r="S910" s="163"/>
      <c r="T910" s="163"/>
    </row>
    <row r="911" spans="1:25" x14ac:dyDescent="0.3">
      <c r="A911" s="302" t="s">
        <v>836</v>
      </c>
      <c r="B911" s="144"/>
      <c r="C911" s="164" t="s">
        <v>718</v>
      </c>
      <c r="D911" s="146">
        <v>0</v>
      </c>
      <c r="E911" s="146">
        <v>0</v>
      </c>
      <c r="F911" s="146">
        <v>0</v>
      </c>
      <c r="G911" s="146">
        <v>0</v>
      </c>
      <c r="H911" s="146">
        <v>0</v>
      </c>
      <c r="I911" s="146">
        <v>0</v>
      </c>
      <c r="J911" s="146">
        <v>0</v>
      </c>
      <c r="K911" s="146">
        <v>0</v>
      </c>
      <c r="L911" s="146">
        <v>0</v>
      </c>
      <c r="M911" s="146">
        <v>0</v>
      </c>
      <c r="N911" s="146">
        <v>0</v>
      </c>
      <c r="Q911" s="164" t="s">
        <v>718</v>
      </c>
      <c r="R911" s="149">
        <v>0</v>
      </c>
      <c r="S911" s="149">
        <v>0</v>
      </c>
      <c r="T911" s="149">
        <v>0</v>
      </c>
    </row>
    <row r="912" spans="1:25" x14ac:dyDescent="0.3">
      <c r="A912" s="303"/>
      <c r="B912" s="144"/>
      <c r="C912" s="164" t="s">
        <v>719</v>
      </c>
      <c r="D912" s="146">
        <v>0</v>
      </c>
      <c r="E912" s="146">
        <v>0</v>
      </c>
      <c r="F912" s="146">
        <v>0</v>
      </c>
      <c r="G912" s="146">
        <v>0</v>
      </c>
      <c r="H912" s="146">
        <v>0</v>
      </c>
      <c r="I912" s="146">
        <v>0</v>
      </c>
      <c r="J912" s="146">
        <v>0</v>
      </c>
      <c r="K912" s="146">
        <v>0</v>
      </c>
      <c r="L912" s="146">
        <v>0</v>
      </c>
      <c r="M912" s="146">
        <v>0</v>
      </c>
      <c r="N912" s="146">
        <v>0</v>
      </c>
      <c r="Q912" s="164" t="s">
        <v>719</v>
      </c>
      <c r="R912" s="149">
        <v>0</v>
      </c>
      <c r="S912" s="149">
        <v>0</v>
      </c>
      <c r="T912" s="149">
        <v>0</v>
      </c>
    </row>
    <row r="913" spans="1:20" x14ac:dyDescent="0.3">
      <c r="A913" s="303"/>
      <c r="B913" s="144"/>
      <c r="C913" s="164">
        <v>1</v>
      </c>
      <c r="D913" s="146">
        <v>0</v>
      </c>
      <c r="E913" s="146">
        <v>0</v>
      </c>
      <c r="F913" s="146">
        <v>0</v>
      </c>
      <c r="G913" s="146">
        <v>0</v>
      </c>
      <c r="H913" s="146">
        <v>0</v>
      </c>
      <c r="I913" s="146">
        <v>0</v>
      </c>
      <c r="J913" s="146">
        <v>0</v>
      </c>
      <c r="K913" s="146">
        <v>0</v>
      </c>
      <c r="L913" s="146">
        <v>0</v>
      </c>
      <c r="M913" s="146">
        <v>0</v>
      </c>
      <c r="N913" s="146">
        <v>0</v>
      </c>
      <c r="Q913" s="164">
        <v>1</v>
      </c>
      <c r="R913" s="149">
        <v>0</v>
      </c>
      <c r="S913" s="149">
        <v>0</v>
      </c>
      <c r="T913" s="149">
        <v>0</v>
      </c>
    </row>
    <row r="914" spans="1:20" x14ac:dyDescent="0.3">
      <c r="A914" s="303"/>
      <c r="B914" s="144"/>
      <c r="C914" s="164" t="s">
        <v>720</v>
      </c>
      <c r="D914" s="146">
        <v>0</v>
      </c>
      <c r="E914" s="146">
        <v>0</v>
      </c>
      <c r="F914" s="146">
        <v>0</v>
      </c>
      <c r="G914" s="146">
        <v>0</v>
      </c>
      <c r="H914" s="146">
        <v>0</v>
      </c>
      <c r="I914" s="146">
        <v>0</v>
      </c>
      <c r="J914" s="146">
        <v>0</v>
      </c>
      <c r="K914" s="146">
        <v>0</v>
      </c>
      <c r="L914" s="146">
        <v>0</v>
      </c>
      <c r="M914" s="146">
        <v>0</v>
      </c>
      <c r="N914" s="146">
        <v>0</v>
      </c>
      <c r="Q914" s="164" t="s">
        <v>720</v>
      </c>
      <c r="R914" s="149">
        <v>0</v>
      </c>
      <c r="S914" s="149">
        <v>0</v>
      </c>
      <c r="T914" s="149">
        <v>0</v>
      </c>
    </row>
    <row r="915" spans="1:20" x14ac:dyDescent="0.3">
      <c r="A915" s="303"/>
      <c r="B915" s="144"/>
      <c r="C915" s="164">
        <v>2</v>
      </c>
      <c r="D915" s="146">
        <v>0</v>
      </c>
      <c r="E915" s="146">
        <v>0</v>
      </c>
      <c r="F915" s="146">
        <v>0</v>
      </c>
      <c r="G915" s="146">
        <v>0</v>
      </c>
      <c r="H915" s="146">
        <v>0</v>
      </c>
      <c r="I915" s="146">
        <v>0</v>
      </c>
      <c r="J915" s="146">
        <v>0</v>
      </c>
      <c r="K915" s="146">
        <v>0</v>
      </c>
      <c r="L915" s="146">
        <v>0</v>
      </c>
      <c r="M915" s="146">
        <v>0</v>
      </c>
      <c r="N915" s="146">
        <v>0</v>
      </c>
      <c r="Q915" s="164">
        <v>2</v>
      </c>
      <c r="R915" s="149">
        <v>0</v>
      </c>
      <c r="S915" s="149">
        <v>0</v>
      </c>
      <c r="T915" s="149">
        <v>0</v>
      </c>
    </row>
    <row r="916" spans="1:20" x14ac:dyDescent="0.3">
      <c r="A916" s="303"/>
      <c r="B916" s="144" t="s">
        <v>779</v>
      </c>
      <c r="C916" s="164" t="s">
        <v>721</v>
      </c>
      <c r="D916" s="146">
        <v>1.2E-2</v>
      </c>
      <c r="E916" s="146">
        <v>4.2000000000000003E-2</v>
      </c>
      <c r="F916" s="146">
        <v>0.16400000000000001</v>
      </c>
      <c r="G916" s="146">
        <v>0.80100000000000005</v>
      </c>
      <c r="H916" s="146">
        <v>6.0000000000000001E-3</v>
      </c>
      <c r="I916" s="147">
        <v>0.308</v>
      </c>
      <c r="J916" s="147">
        <v>0.14000000000000001</v>
      </c>
      <c r="K916" s="147">
        <v>0.187</v>
      </c>
      <c r="L916" s="147">
        <v>0.112</v>
      </c>
      <c r="M916" s="147">
        <v>0.28000000000000003</v>
      </c>
      <c r="N916" s="147">
        <v>0.373</v>
      </c>
      <c r="Q916" s="164" t="s">
        <v>721</v>
      </c>
      <c r="R916" s="149">
        <v>3.6999999999999998E-2</v>
      </c>
      <c r="S916" s="149">
        <v>7.5999999999999998E-2</v>
      </c>
      <c r="T916" s="149">
        <v>0.115</v>
      </c>
    </row>
    <row r="917" spans="1:20" x14ac:dyDescent="0.3">
      <c r="A917" s="303"/>
      <c r="B917" s="144" t="s">
        <v>779</v>
      </c>
      <c r="C917" s="164">
        <v>3</v>
      </c>
      <c r="D917" s="146">
        <v>1.2E-2</v>
      </c>
      <c r="E917" s="146">
        <v>4.2000000000000003E-2</v>
      </c>
      <c r="F917" s="146">
        <v>0.16400000000000001</v>
      </c>
      <c r="G917" s="146">
        <v>0.80100000000000005</v>
      </c>
      <c r="H917" s="146">
        <v>6.0000000000000001E-3</v>
      </c>
      <c r="I917" s="147">
        <v>0.308</v>
      </c>
      <c r="J917" s="147">
        <v>0.14000000000000001</v>
      </c>
      <c r="K917" s="147">
        <v>0.187</v>
      </c>
      <c r="L917" s="147">
        <v>0.112</v>
      </c>
      <c r="M917" s="147">
        <v>0.28000000000000003</v>
      </c>
      <c r="N917" s="147">
        <v>0.373</v>
      </c>
      <c r="Q917" s="164">
        <v>3</v>
      </c>
      <c r="R917" s="149">
        <v>3.6999999999999998E-2</v>
      </c>
      <c r="S917" s="149">
        <v>7.5999999999999998E-2</v>
      </c>
      <c r="T917" s="149">
        <v>0.115</v>
      </c>
    </row>
    <row r="918" spans="1:20" x14ac:dyDescent="0.3">
      <c r="A918" s="303"/>
      <c r="B918" s="144" t="s">
        <v>779</v>
      </c>
      <c r="C918" s="164">
        <v>4</v>
      </c>
      <c r="D918" s="146">
        <v>1.4E-2</v>
      </c>
      <c r="E918" s="146">
        <v>4.8000000000000001E-2</v>
      </c>
      <c r="F918" s="146">
        <v>0.187</v>
      </c>
      <c r="G918" s="146">
        <v>0.91400000000000003</v>
      </c>
      <c r="H918" s="146">
        <v>6.0000000000000001E-3</v>
      </c>
      <c r="I918" s="147">
        <v>0.35199999999999998</v>
      </c>
      <c r="J918" s="147">
        <v>0.16</v>
      </c>
      <c r="K918" s="147">
        <v>0.21299999999999999</v>
      </c>
      <c r="L918" s="147">
        <v>0.128</v>
      </c>
      <c r="M918" s="147">
        <v>0.32</v>
      </c>
      <c r="N918" s="147">
        <v>0.42699999999999999</v>
      </c>
      <c r="Q918" s="164">
        <v>4</v>
      </c>
      <c r="R918" s="149">
        <v>4.2999999999999997E-2</v>
      </c>
      <c r="S918" s="149">
        <v>8.6999999999999994E-2</v>
      </c>
      <c r="T918" s="149">
        <v>0.13100000000000001</v>
      </c>
    </row>
    <row r="919" spans="1:20" x14ac:dyDescent="0.3">
      <c r="A919" s="303"/>
      <c r="B919" s="144" t="s">
        <v>779</v>
      </c>
      <c r="C919" s="164">
        <v>6</v>
      </c>
      <c r="D919" s="146">
        <v>1.9E-2</v>
      </c>
      <c r="E919" s="146">
        <v>6.6000000000000003E-2</v>
      </c>
      <c r="F919" s="146">
        <v>0.25700000000000001</v>
      </c>
      <c r="G919" s="146">
        <v>1.2569999999999999</v>
      </c>
      <c r="H919" s="146">
        <v>2.7E-2</v>
      </c>
      <c r="I919" s="147">
        <v>0.48399999999999999</v>
      </c>
      <c r="J919" s="147">
        <v>0.22</v>
      </c>
      <c r="K919" s="147">
        <v>0.29299999999999998</v>
      </c>
      <c r="L919" s="147">
        <v>0.17599999999999999</v>
      </c>
      <c r="M919" s="147">
        <v>0.44</v>
      </c>
      <c r="N919" s="147">
        <v>0.58699999999999997</v>
      </c>
      <c r="Q919" s="164">
        <v>6</v>
      </c>
      <c r="R919" s="149">
        <v>5.8000000000000003E-2</v>
      </c>
      <c r="S919" s="149">
        <v>0.12</v>
      </c>
      <c r="T919" s="149">
        <v>0.18</v>
      </c>
    </row>
    <row r="920" spans="1:20" x14ac:dyDescent="0.3">
      <c r="A920" s="303"/>
      <c r="B920" s="144" t="s">
        <v>779</v>
      </c>
      <c r="C920" s="164">
        <v>8</v>
      </c>
      <c r="D920" s="146">
        <v>2.5000000000000001E-2</v>
      </c>
      <c r="E920" s="146">
        <v>8.4000000000000005E-2</v>
      </c>
      <c r="F920" s="146">
        <v>0.32700000000000001</v>
      </c>
      <c r="G920" s="146">
        <v>1.601</v>
      </c>
      <c r="H920" s="146">
        <v>3.5999999999999997E-2</v>
      </c>
      <c r="I920" s="147">
        <v>0.61599999999999999</v>
      </c>
      <c r="J920" s="147">
        <v>0.28000000000000003</v>
      </c>
      <c r="K920" s="147">
        <v>0.373</v>
      </c>
      <c r="L920" s="147">
        <v>0.224</v>
      </c>
      <c r="M920" s="147">
        <v>0.56000000000000005</v>
      </c>
      <c r="N920" s="147">
        <v>0.747</v>
      </c>
      <c r="Q920" s="164">
        <v>8</v>
      </c>
      <c r="R920" s="149">
        <v>7.3999999999999996E-2</v>
      </c>
      <c r="S920" s="149">
        <v>0.153</v>
      </c>
      <c r="T920" s="149">
        <v>0.22900000000000001</v>
      </c>
    </row>
    <row r="921" spans="1:20" x14ac:dyDescent="0.3">
      <c r="A921" s="303"/>
      <c r="B921" s="144" t="s">
        <v>779</v>
      </c>
      <c r="C921" s="164">
        <v>10</v>
      </c>
      <c r="D921" s="146">
        <v>0.03</v>
      </c>
      <c r="E921" s="146">
        <v>0.10199999999999999</v>
      </c>
      <c r="F921" s="146">
        <v>0.39700000000000002</v>
      </c>
      <c r="G921" s="146">
        <v>1.9419999999999999</v>
      </c>
      <c r="H921" s="146">
        <v>4.4999999999999998E-2</v>
      </c>
      <c r="I921" s="147">
        <v>0.748</v>
      </c>
      <c r="J921" s="147">
        <v>0.34</v>
      </c>
      <c r="K921" s="147">
        <v>0.45300000000000001</v>
      </c>
      <c r="L921" s="147">
        <v>0.27200000000000002</v>
      </c>
      <c r="M921" s="147">
        <v>0.68</v>
      </c>
      <c r="N921" s="147">
        <v>0.90700000000000003</v>
      </c>
      <c r="Q921" s="164">
        <v>10</v>
      </c>
      <c r="R921" s="149">
        <v>0.09</v>
      </c>
      <c r="S921" s="149">
        <v>0.185</v>
      </c>
      <c r="T921" s="149">
        <v>0.27800000000000002</v>
      </c>
    </row>
    <row r="922" spans="1:20" x14ac:dyDescent="0.3">
      <c r="A922" s="303"/>
      <c r="B922" s="144" t="s">
        <v>779</v>
      </c>
      <c r="C922" s="164">
        <v>12</v>
      </c>
      <c r="D922" s="146">
        <v>3.4000000000000002E-2</v>
      </c>
      <c r="E922" s="146">
        <v>0.12</v>
      </c>
      <c r="F922" s="146">
        <v>0.46700000000000003</v>
      </c>
      <c r="G922" s="146">
        <v>2.2829999999999999</v>
      </c>
      <c r="H922" s="146">
        <v>5.0999999999999997E-2</v>
      </c>
      <c r="I922" s="147">
        <v>0.88</v>
      </c>
      <c r="J922" s="147">
        <v>0.4</v>
      </c>
      <c r="K922" s="147">
        <v>0.53300000000000003</v>
      </c>
      <c r="L922" s="147">
        <v>0.32</v>
      </c>
      <c r="M922" s="147">
        <v>0.8</v>
      </c>
      <c r="N922" s="147">
        <v>1.0669999999999999</v>
      </c>
      <c r="Q922" s="164">
        <v>12</v>
      </c>
      <c r="R922" s="149">
        <v>0.106</v>
      </c>
      <c r="S922" s="149">
        <v>0.218</v>
      </c>
      <c r="T922" s="149">
        <v>0.32700000000000001</v>
      </c>
    </row>
    <row r="923" spans="1:20" x14ac:dyDescent="0.3">
      <c r="A923" s="303"/>
      <c r="B923" s="144" t="s">
        <v>779</v>
      </c>
      <c r="C923" s="164">
        <v>14</v>
      </c>
      <c r="D923" s="146">
        <v>4.1000000000000002E-2</v>
      </c>
      <c r="E923" s="146">
        <v>0.13500000000000001</v>
      </c>
      <c r="F923" s="146">
        <v>0.52600000000000002</v>
      </c>
      <c r="G923" s="146">
        <v>2.5720000000000001</v>
      </c>
      <c r="H923" s="146">
        <v>5.7000000000000002E-2</v>
      </c>
      <c r="I923" s="147">
        <v>0.99</v>
      </c>
      <c r="J923" s="147">
        <v>0.45</v>
      </c>
      <c r="K923" s="147">
        <v>0.6</v>
      </c>
      <c r="L923" s="147">
        <v>0.36</v>
      </c>
      <c r="M923" s="147">
        <v>0.9</v>
      </c>
      <c r="N923" s="147">
        <v>1.2</v>
      </c>
      <c r="Q923" s="164">
        <v>14</v>
      </c>
      <c r="R923" s="149">
        <v>0.12</v>
      </c>
      <c r="S923" s="149">
        <v>0.245</v>
      </c>
      <c r="T923" s="149">
        <v>0.36799999999999999</v>
      </c>
    </row>
    <row r="924" spans="1:20" x14ac:dyDescent="0.3">
      <c r="A924" s="303"/>
      <c r="B924" s="144" t="s">
        <v>779</v>
      </c>
      <c r="C924" s="164">
        <v>16</v>
      </c>
      <c r="D924" s="146">
        <v>4.2999999999999997E-2</v>
      </c>
      <c r="E924" s="146">
        <v>0.15</v>
      </c>
      <c r="F924" s="146">
        <v>0.58399999999999996</v>
      </c>
      <c r="G924" s="146">
        <v>2.8580000000000001</v>
      </c>
      <c r="H924" s="146">
        <v>6.3E-2</v>
      </c>
      <c r="I924" s="147">
        <v>1.1000000000000001</v>
      </c>
      <c r="J924" s="147">
        <v>0.5</v>
      </c>
      <c r="K924" s="147">
        <v>0.66700000000000004</v>
      </c>
      <c r="L924" s="147">
        <v>0.4</v>
      </c>
      <c r="M924" s="147">
        <v>1</v>
      </c>
      <c r="N924" s="147">
        <v>1.333</v>
      </c>
      <c r="Q924" s="164">
        <v>16</v>
      </c>
      <c r="R924" s="149">
        <v>0.13300000000000001</v>
      </c>
      <c r="S924" s="149">
        <v>0.27300000000000002</v>
      </c>
      <c r="T924" s="149">
        <v>0.40899999999999997</v>
      </c>
    </row>
    <row r="925" spans="1:20" x14ac:dyDescent="0.3">
      <c r="A925" s="303"/>
      <c r="B925" s="144" t="s">
        <v>779</v>
      </c>
      <c r="C925" s="164">
        <v>18</v>
      </c>
      <c r="D925" s="146">
        <v>4.7E-2</v>
      </c>
      <c r="E925" s="146">
        <v>0.16500000000000001</v>
      </c>
      <c r="F925" s="146">
        <v>0.64200000000000002</v>
      </c>
      <c r="G925" s="146">
        <v>3.1429999999999998</v>
      </c>
      <c r="H925" s="146">
        <v>7.1999999999999995E-2</v>
      </c>
      <c r="I925" s="147">
        <v>1.21</v>
      </c>
      <c r="J925" s="147">
        <v>0.55000000000000004</v>
      </c>
      <c r="K925" s="147">
        <v>0.73299999999999998</v>
      </c>
      <c r="L925" s="147">
        <v>0.44</v>
      </c>
      <c r="M925" s="147">
        <v>1.1000000000000001</v>
      </c>
      <c r="N925" s="147">
        <v>1.4670000000000001</v>
      </c>
      <c r="Q925" s="164">
        <v>18</v>
      </c>
      <c r="R925" s="149">
        <v>0.14599999999999999</v>
      </c>
      <c r="S925" s="149">
        <v>0.3</v>
      </c>
      <c r="T925" s="149">
        <v>0.45</v>
      </c>
    </row>
    <row r="926" spans="1:20" x14ac:dyDescent="0.3">
      <c r="A926" s="303"/>
      <c r="B926" s="144" t="s">
        <v>779</v>
      </c>
      <c r="C926" s="164">
        <v>20</v>
      </c>
      <c r="D926" s="146">
        <v>5.1999999999999998E-2</v>
      </c>
      <c r="E926" s="146">
        <v>0.18</v>
      </c>
      <c r="F926" s="146">
        <v>0.70099999999999996</v>
      </c>
      <c r="G926" s="146">
        <v>3.4279999999999999</v>
      </c>
      <c r="H926" s="146">
        <v>7.8E-2</v>
      </c>
      <c r="I926" s="147">
        <v>1.32</v>
      </c>
      <c r="J926" s="147">
        <v>0.6</v>
      </c>
      <c r="K926" s="147">
        <v>0.8</v>
      </c>
      <c r="L926" s="147">
        <v>0.48</v>
      </c>
      <c r="M926" s="147">
        <v>1.2</v>
      </c>
      <c r="N926" s="147">
        <v>1.6</v>
      </c>
      <c r="Q926" s="164">
        <v>20</v>
      </c>
      <c r="R926" s="149">
        <v>0.159</v>
      </c>
      <c r="S926" s="149">
        <v>0.32700000000000001</v>
      </c>
      <c r="T926" s="149">
        <v>0.49099999999999999</v>
      </c>
    </row>
    <row r="927" spans="1:20" x14ac:dyDescent="0.3">
      <c r="A927" s="303"/>
      <c r="B927" s="144" t="s">
        <v>779</v>
      </c>
      <c r="C927" s="164">
        <v>24</v>
      </c>
      <c r="D927" s="146">
        <v>0.06</v>
      </c>
      <c r="E927" s="146">
        <v>0.21</v>
      </c>
      <c r="F927" s="146">
        <v>0.81799999999999995</v>
      </c>
      <c r="G927" s="146">
        <v>3.9990000000000001</v>
      </c>
      <c r="H927" s="146">
        <v>0.09</v>
      </c>
      <c r="I927" s="147">
        <v>1.54</v>
      </c>
      <c r="J927" s="147">
        <v>0.7</v>
      </c>
      <c r="K927" s="147">
        <v>0.93300000000000005</v>
      </c>
      <c r="L927" s="147">
        <v>0.56000000000000005</v>
      </c>
      <c r="M927" s="147">
        <v>1.4</v>
      </c>
      <c r="N927" s="147">
        <v>1.867</v>
      </c>
      <c r="Q927" s="164">
        <v>24</v>
      </c>
      <c r="R927" s="149">
        <v>0.186</v>
      </c>
      <c r="S927" s="149">
        <v>0.38200000000000001</v>
      </c>
      <c r="T927" s="149">
        <v>0.57299999999999995</v>
      </c>
    </row>
    <row r="928" spans="1:20" x14ac:dyDescent="0.3">
      <c r="A928" s="303"/>
      <c r="B928" s="144" t="s">
        <v>779</v>
      </c>
      <c r="C928" s="164">
        <v>26</v>
      </c>
      <c r="D928" s="146">
        <v>6.4000000000000001E-2</v>
      </c>
      <c r="E928" s="146">
        <v>0.22500000000000001</v>
      </c>
      <c r="F928" s="146">
        <v>0.875</v>
      </c>
      <c r="G928" s="146">
        <v>4.2649999999999997</v>
      </c>
      <c r="H928" s="146">
        <v>9.6000000000000002E-2</v>
      </c>
      <c r="I928" s="147">
        <v>1.65</v>
      </c>
      <c r="J928" s="147">
        <v>0.75</v>
      </c>
      <c r="K928" s="147">
        <v>1</v>
      </c>
      <c r="L928" s="147">
        <v>0.6</v>
      </c>
      <c r="M928" s="147">
        <v>1.5</v>
      </c>
      <c r="N928" s="147">
        <v>2.0099999999999998</v>
      </c>
      <c r="Q928" s="164">
        <v>26</v>
      </c>
      <c r="R928" s="149">
        <v>0.20100000000000001</v>
      </c>
      <c r="S928" s="149">
        <v>0.41199999999999998</v>
      </c>
      <c r="T928" s="149">
        <v>0.61899999999999999</v>
      </c>
    </row>
    <row r="929" spans="1:21" x14ac:dyDescent="0.3">
      <c r="A929" s="303"/>
      <c r="B929" s="144" t="s">
        <v>779</v>
      </c>
      <c r="C929" s="164">
        <v>28</v>
      </c>
      <c r="D929" s="146">
        <v>6.9000000000000006E-2</v>
      </c>
      <c r="E929" s="146">
        <v>0.24399999999999999</v>
      </c>
      <c r="F929" s="146">
        <v>0.94799999999999995</v>
      </c>
      <c r="G929" s="146">
        <v>4.5990000000000002</v>
      </c>
      <c r="H929" s="146">
        <v>0.104</v>
      </c>
      <c r="I929" s="147">
        <v>1.76</v>
      </c>
      <c r="J929" s="147">
        <v>0.81</v>
      </c>
      <c r="K929" s="147">
        <v>1.08</v>
      </c>
      <c r="L929" s="147">
        <v>0.64</v>
      </c>
      <c r="M929" s="147">
        <v>1.6</v>
      </c>
      <c r="N929" s="147">
        <v>2.16</v>
      </c>
      <c r="Q929" s="164">
        <v>28</v>
      </c>
      <c r="R929" s="149">
        <v>0.218</v>
      </c>
      <c r="S929" s="149">
        <v>0.44700000000000001</v>
      </c>
      <c r="T929" s="149">
        <v>0.67</v>
      </c>
    </row>
    <row r="930" spans="1:21" ht="15" thickBot="1" x14ac:dyDescent="0.35">
      <c r="A930" s="304"/>
      <c r="B930" s="144" t="s">
        <v>779</v>
      </c>
      <c r="C930" s="164">
        <v>30</v>
      </c>
      <c r="D930" s="146">
        <v>7.2999999999999995E-2</v>
      </c>
      <c r="E930" s="146">
        <v>0.255</v>
      </c>
      <c r="F930" s="146">
        <v>0.99299999999999999</v>
      </c>
      <c r="G930" s="146">
        <v>4.8559999999999999</v>
      </c>
      <c r="H930" s="146">
        <v>0.11</v>
      </c>
      <c r="I930" s="147">
        <v>1.87</v>
      </c>
      <c r="J930" s="147">
        <v>0.85</v>
      </c>
      <c r="K930" s="147">
        <v>1.133</v>
      </c>
      <c r="L930" s="147">
        <v>0.68</v>
      </c>
      <c r="M930" s="147">
        <v>1.7</v>
      </c>
      <c r="N930" s="147">
        <v>2.2669999999999999</v>
      </c>
      <c r="O930" s="153"/>
      <c r="P930" s="153"/>
      <c r="Q930" s="164">
        <v>30</v>
      </c>
      <c r="R930" s="149">
        <v>0.22600000000000001</v>
      </c>
      <c r="S930" s="149">
        <v>0.46400000000000002</v>
      </c>
      <c r="T930" s="149">
        <v>0.69499999999999995</v>
      </c>
    </row>
    <row r="931" spans="1:21" x14ac:dyDescent="0.3">
      <c r="A931"/>
      <c r="B931" s="144" t="s">
        <v>779</v>
      </c>
      <c r="C931" s="164">
        <v>32</v>
      </c>
      <c r="D931" s="146">
        <v>0.08</v>
      </c>
      <c r="E931" s="146">
        <v>0.27200000000000002</v>
      </c>
      <c r="F931" s="146">
        <v>1.0580000000000001</v>
      </c>
      <c r="G931" s="146">
        <v>5.1769999999999996</v>
      </c>
      <c r="H931" s="146">
        <v>0.11600000000000001</v>
      </c>
      <c r="I931" s="147">
        <v>2.0350000000000001</v>
      </c>
      <c r="J931" s="147">
        <v>0.93</v>
      </c>
      <c r="K931" s="147">
        <v>1.21</v>
      </c>
      <c r="L931" s="147">
        <v>0.74</v>
      </c>
      <c r="M931" s="147">
        <v>1.85</v>
      </c>
      <c r="N931" s="147">
        <v>2.41</v>
      </c>
      <c r="O931" s="153"/>
      <c r="P931" s="153"/>
      <c r="Q931" s="164">
        <v>32</v>
      </c>
      <c r="R931" s="149">
        <v>0.24099999999999999</v>
      </c>
      <c r="S931" s="149">
        <v>0.495</v>
      </c>
      <c r="T931" s="149">
        <v>0.74199999999999999</v>
      </c>
    </row>
    <row r="932" spans="1:21" x14ac:dyDescent="0.3">
      <c r="B932" s="144" t="s">
        <v>779</v>
      </c>
      <c r="C932" s="164">
        <v>36</v>
      </c>
      <c r="D932" s="146">
        <v>8.5999999999999993E-2</v>
      </c>
      <c r="E932" s="146">
        <v>0.3</v>
      </c>
      <c r="F932" s="146">
        <v>1.1679999999999999</v>
      </c>
      <c r="G932" s="146">
        <v>5.7119999999999997</v>
      </c>
      <c r="H932" s="146">
        <v>0.128</v>
      </c>
      <c r="I932" s="147">
        <v>2.2000000000000002</v>
      </c>
      <c r="J932" s="147">
        <v>1</v>
      </c>
      <c r="K932" s="147">
        <v>1.333</v>
      </c>
      <c r="L932" s="147">
        <v>0.8</v>
      </c>
      <c r="M932" s="147">
        <v>2</v>
      </c>
      <c r="N932" s="147">
        <v>2.6669999999999998</v>
      </c>
      <c r="Q932" s="164">
        <v>36</v>
      </c>
      <c r="R932" s="149">
        <v>0.26600000000000001</v>
      </c>
      <c r="S932" s="149">
        <v>0.54500000000000004</v>
      </c>
      <c r="T932" s="149">
        <v>0.81799999999999995</v>
      </c>
    </row>
    <row r="933" spans="1:21" x14ac:dyDescent="0.3">
      <c r="B933" s="144" t="s">
        <v>779</v>
      </c>
      <c r="C933" s="164">
        <v>42</v>
      </c>
      <c r="D933" s="146">
        <v>0.10299999999999999</v>
      </c>
      <c r="E933" s="146">
        <v>0.35899999999999999</v>
      </c>
      <c r="F933" s="146">
        <v>1.3979999999999999</v>
      </c>
      <c r="G933" s="146">
        <v>6.8440000000000003</v>
      </c>
      <c r="H933" s="146">
        <v>0.153</v>
      </c>
      <c r="I933" s="147">
        <v>2.633</v>
      </c>
      <c r="J933" s="147">
        <v>1.1970000000000001</v>
      </c>
      <c r="K933" s="147">
        <v>1.5980000000000001</v>
      </c>
      <c r="L933" s="147">
        <v>0.95799999999999996</v>
      </c>
      <c r="M933" s="147">
        <v>2.3940000000000001</v>
      </c>
      <c r="N933" s="147">
        <v>3.1960000000000002</v>
      </c>
      <c r="Q933" s="164">
        <v>42</v>
      </c>
      <c r="R933" s="149">
        <v>0.318</v>
      </c>
      <c r="S933" s="149">
        <v>0.65200000000000002</v>
      </c>
      <c r="T933" s="149">
        <v>0.97899999999999998</v>
      </c>
    </row>
    <row r="934" spans="1:21" x14ac:dyDescent="0.3">
      <c r="B934" s="144" t="s">
        <v>779</v>
      </c>
      <c r="C934" s="164">
        <v>48</v>
      </c>
      <c r="D934" s="146">
        <v>0.11</v>
      </c>
      <c r="E934" s="146">
        <v>0.38300000000000001</v>
      </c>
      <c r="F934" s="146">
        <v>1.4910000000000001</v>
      </c>
      <c r="G934" s="146">
        <v>7.29</v>
      </c>
      <c r="H934" s="146">
        <v>0.16400000000000001</v>
      </c>
      <c r="I934" s="147">
        <v>2.8069999999999999</v>
      </c>
      <c r="J934" s="147">
        <v>1.276</v>
      </c>
      <c r="K934" s="147">
        <v>1.7030000000000001</v>
      </c>
      <c r="L934" s="147">
        <v>1.0209999999999999</v>
      </c>
      <c r="M934" s="147">
        <v>2.552</v>
      </c>
      <c r="N934" s="147">
        <v>3.407</v>
      </c>
      <c r="Q934" s="164">
        <v>48</v>
      </c>
      <c r="R934" s="149">
        <v>0.33900000000000002</v>
      </c>
      <c r="S934" s="149">
        <v>0.69499999999999995</v>
      </c>
      <c r="T934" s="149">
        <v>1.044</v>
      </c>
    </row>
    <row r="935" spans="1:21" ht="15" thickBot="1" x14ac:dyDescent="0.35">
      <c r="B935" s="155" t="s">
        <v>779</v>
      </c>
      <c r="C935" s="150" t="s">
        <v>834</v>
      </c>
      <c r="D935" s="151">
        <v>0.121</v>
      </c>
      <c r="E935" s="151">
        <v>0.42099999999999999</v>
      </c>
      <c r="F935" s="151">
        <v>1.64</v>
      </c>
      <c r="G935" s="151">
        <v>8.0250000000000004</v>
      </c>
      <c r="H935" s="151">
        <v>0.18</v>
      </c>
      <c r="I935" s="152">
        <v>3.0880000000000001</v>
      </c>
      <c r="J935" s="152">
        <v>1.4039999999999999</v>
      </c>
      <c r="K935" s="152">
        <v>1.8740000000000001</v>
      </c>
      <c r="L935" s="152">
        <v>1.123</v>
      </c>
      <c r="M935" s="152">
        <v>2.8069999999999999</v>
      </c>
      <c r="N935" s="152">
        <v>3.7469999999999999</v>
      </c>
      <c r="Q935" s="150" t="s">
        <v>834</v>
      </c>
      <c r="R935" s="154">
        <v>0.373</v>
      </c>
      <c r="S935" s="154">
        <v>0.76500000000000001</v>
      </c>
      <c r="T935" s="154">
        <v>1.1479999999999999</v>
      </c>
    </row>
    <row r="936" spans="1:21" ht="15" thickBot="1" x14ac:dyDescent="0.35">
      <c r="B936"/>
      <c r="C936" s="156" t="s">
        <v>835</v>
      </c>
      <c r="D936" s="157">
        <v>0.13100000000000001</v>
      </c>
      <c r="E936" s="157">
        <v>0.45700000000000002</v>
      </c>
      <c r="F936" s="157">
        <v>1.7809999999999999</v>
      </c>
      <c r="G936" s="157">
        <v>8.7070000000000007</v>
      </c>
      <c r="H936" s="157">
        <v>0.19500000000000001</v>
      </c>
      <c r="I936" s="158">
        <v>3.3540000000000001</v>
      </c>
      <c r="J936" s="158">
        <v>1.5249999999999999</v>
      </c>
      <c r="K936" s="158">
        <v>2.036</v>
      </c>
      <c r="L936" s="158">
        <v>1.22</v>
      </c>
      <c r="M936" s="158">
        <v>3.0489999999999999</v>
      </c>
      <c r="N936" s="158">
        <v>4.07</v>
      </c>
      <c r="Q936" s="156" t="s">
        <v>835</v>
      </c>
      <c r="R936" s="159">
        <v>0.40600000000000003</v>
      </c>
      <c r="S936" s="159">
        <v>0.83099999999999996</v>
      </c>
      <c r="T936" s="159">
        <v>1.2470000000000001</v>
      </c>
    </row>
    <row r="938" spans="1:21" x14ac:dyDescent="0.3">
      <c r="C938" t="s">
        <v>837</v>
      </c>
    </row>
    <row r="940" spans="1:21" ht="27.6" x14ac:dyDescent="0.3">
      <c r="A940" s="178" t="s">
        <v>838</v>
      </c>
      <c r="B940" s="169">
        <v>150</v>
      </c>
      <c r="C940" s="169">
        <v>300</v>
      </c>
      <c r="D940" s="169">
        <v>600</v>
      </c>
      <c r="E940" s="169">
        <v>900</v>
      </c>
      <c r="F940" s="169">
        <v>1500</v>
      </c>
      <c r="G940"/>
      <c r="H940" s="177" t="s">
        <v>839</v>
      </c>
      <c r="I940" s="175">
        <v>150</v>
      </c>
      <c r="J940" s="175">
        <v>300</v>
      </c>
      <c r="K940" s="175">
        <v>600</v>
      </c>
      <c r="L940" s="175">
        <v>900</v>
      </c>
      <c r="M940" s="175">
        <v>1500</v>
      </c>
      <c r="N940"/>
      <c r="O940" s="177" t="s">
        <v>840</v>
      </c>
      <c r="P940" s="175">
        <v>150</v>
      </c>
      <c r="Q940" s="175">
        <v>300</v>
      </c>
      <c r="R940" s="175">
        <v>600</v>
      </c>
      <c r="S940" s="175">
        <v>900</v>
      </c>
      <c r="T940" s="175">
        <v>1500</v>
      </c>
      <c r="U940" s="169">
        <v>2500</v>
      </c>
    </row>
    <row r="941" spans="1:21" x14ac:dyDescent="0.3">
      <c r="A941" s="164" t="s">
        <v>718</v>
      </c>
      <c r="B941" s="175">
        <v>0.44</v>
      </c>
      <c r="C941" s="175">
        <v>0.44</v>
      </c>
      <c r="D941" s="175">
        <v>0.44</v>
      </c>
      <c r="E941" s="175">
        <v>0.44</v>
      </c>
      <c r="F941" s="175">
        <v>0.44</v>
      </c>
      <c r="G941"/>
      <c r="H941" s="164" t="s">
        <v>718</v>
      </c>
      <c r="I941" s="175">
        <v>0.42</v>
      </c>
      <c r="J941" s="175">
        <v>0.42</v>
      </c>
      <c r="K941" s="175">
        <v>0.42</v>
      </c>
      <c r="L941" s="175">
        <v>0.42</v>
      </c>
      <c r="M941" s="175">
        <v>0.42</v>
      </c>
      <c r="N941"/>
      <c r="O941" s="164" t="s">
        <v>718</v>
      </c>
      <c r="P941" s="175">
        <v>0.31</v>
      </c>
      <c r="Q941" s="175">
        <v>0.31</v>
      </c>
      <c r="R941" s="175">
        <v>0.31</v>
      </c>
      <c r="S941" s="175">
        <v>0.31</v>
      </c>
      <c r="T941" s="175">
        <v>0.31</v>
      </c>
      <c r="U941" s="175">
        <v>0.31</v>
      </c>
    </row>
    <row r="942" spans="1:21" x14ac:dyDescent="0.3">
      <c r="A942" s="164" t="s">
        <v>719</v>
      </c>
      <c r="B942" s="175">
        <v>0.44</v>
      </c>
      <c r="C942" s="175">
        <v>0.49</v>
      </c>
      <c r="D942" s="175">
        <v>0.49</v>
      </c>
      <c r="E942" s="175">
        <v>0.49</v>
      </c>
      <c r="F942" s="175">
        <v>0.49</v>
      </c>
      <c r="G942"/>
      <c r="H942" s="164" t="s">
        <v>719</v>
      </c>
      <c r="I942" s="175">
        <v>0.42</v>
      </c>
      <c r="J942" s="175">
        <v>0.47</v>
      </c>
      <c r="K942" s="175">
        <v>0.47</v>
      </c>
      <c r="L942" s="175">
        <v>0.47</v>
      </c>
      <c r="M942" s="175">
        <v>0.47</v>
      </c>
      <c r="N942"/>
      <c r="O942" s="164" t="s">
        <v>719</v>
      </c>
      <c r="P942" s="175">
        <v>0.31</v>
      </c>
      <c r="Q942" s="175">
        <v>0.36</v>
      </c>
      <c r="R942" s="175">
        <v>0.36</v>
      </c>
      <c r="S942" s="175">
        <v>0.36</v>
      </c>
      <c r="T942" s="175">
        <v>0.36</v>
      </c>
      <c r="U942" s="175">
        <v>0.36</v>
      </c>
    </row>
    <row r="943" spans="1:21" x14ac:dyDescent="0.3">
      <c r="A943" s="164">
        <v>1</v>
      </c>
      <c r="B943" s="175">
        <v>0.44</v>
      </c>
      <c r="C943" s="175">
        <v>0.56000000000000005</v>
      </c>
      <c r="D943" s="175">
        <v>0.56000000000000005</v>
      </c>
      <c r="E943" s="175">
        <v>0.56000000000000005</v>
      </c>
      <c r="F943" s="175">
        <v>0.56000000000000005</v>
      </c>
      <c r="G943"/>
      <c r="H943" s="164">
        <v>1</v>
      </c>
      <c r="I943" s="175">
        <v>0.42</v>
      </c>
      <c r="J943" s="175">
        <v>0.54</v>
      </c>
      <c r="K943" s="175">
        <v>0.54</v>
      </c>
      <c r="L943" s="175">
        <v>0.54</v>
      </c>
      <c r="M943" s="175">
        <v>0.54</v>
      </c>
      <c r="N943"/>
      <c r="O943" s="164">
        <v>1</v>
      </c>
      <c r="P943" s="175">
        <v>0.31</v>
      </c>
      <c r="Q943" s="175">
        <v>0.43</v>
      </c>
      <c r="R943" s="175">
        <v>0.43</v>
      </c>
      <c r="S943" s="175">
        <v>0.43</v>
      </c>
      <c r="T943" s="175">
        <v>0.43</v>
      </c>
      <c r="U943" s="175">
        <v>0.43</v>
      </c>
    </row>
    <row r="944" spans="1:21" x14ac:dyDescent="0.3">
      <c r="A944" s="164" t="s">
        <v>720</v>
      </c>
      <c r="B944" s="175">
        <v>0.47</v>
      </c>
      <c r="C944" s="175">
        <v>0.64</v>
      </c>
      <c r="D944" s="175">
        <v>0.64</v>
      </c>
      <c r="E944" s="175">
        <v>0.64</v>
      </c>
      <c r="F944" s="175">
        <v>0.64</v>
      </c>
      <c r="G944"/>
      <c r="H944" s="164" t="s">
        <v>720</v>
      </c>
      <c r="I944" s="175">
        <v>0.45</v>
      </c>
      <c r="J944" s="175">
        <v>0.62</v>
      </c>
      <c r="K944" s="175">
        <v>0.62</v>
      </c>
      <c r="L944" s="175">
        <v>0.62</v>
      </c>
      <c r="M944" s="175">
        <v>0.62</v>
      </c>
      <c r="N944"/>
      <c r="O944" s="164" t="s">
        <v>720</v>
      </c>
      <c r="P944" s="175">
        <v>0.31</v>
      </c>
      <c r="Q944" s="175">
        <v>0.48</v>
      </c>
      <c r="R944" s="175">
        <v>0.48</v>
      </c>
      <c r="S944" s="175">
        <v>0.48</v>
      </c>
      <c r="T944" s="175">
        <v>0.48</v>
      </c>
      <c r="U944" s="175">
        <v>0.48</v>
      </c>
    </row>
    <row r="945" spans="1:21" x14ac:dyDescent="0.3">
      <c r="A945" s="164">
        <v>2</v>
      </c>
      <c r="B945" s="175">
        <v>0.52</v>
      </c>
      <c r="C945" s="175">
        <v>0.95</v>
      </c>
      <c r="D945" s="175">
        <v>0.95</v>
      </c>
      <c r="E945" s="175">
        <v>1.1299999999999999</v>
      </c>
      <c r="F945" s="175">
        <v>1.1299999999999999</v>
      </c>
      <c r="G945"/>
      <c r="H945" s="164">
        <v>2</v>
      </c>
      <c r="I945" s="175">
        <v>0.5</v>
      </c>
      <c r="J945" s="175">
        <v>0.93</v>
      </c>
      <c r="K945" s="175">
        <v>0.93</v>
      </c>
      <c r="L945" s="175">
        <v>1.1000000000000001</v>
      </c>
      <c r="M945" s="175">
        <v>1.1000000000000001</v>
      </c>
      <c r="N945"/>
      <c r="O945" s="164">
        <v>2</v>
      </c>
      <c r="P945" s="175">
        <v>0.36</v>
      </c>
      <c r="Q945" s="175">
        <v>0.79</v>
      </c>
      <c r="R945" s="175">
        <v>0.79</v>
      </c>
      <c r="S945" s="175">
        <v>0.96</v>
      </c>
      <c r="T945" s="175">
        <v>0.96</v>
      </c>
      <c r="U945" s="175">
        <v>1.01</v>
      </c>
    </row>
    <row r="946" spans="1:21" x14ac:dyDescent="0.3">
      <c r="A946" s="164" t="s">
        <v>721</v>
      </c>
      <c r="B946" s="175">
        <v>0.54</v>
      </c>
      <c r="C946" s="175">
        <v>1.03</v>
      </c>
      <c r="D946" s="175">
        <v>1.06</v>
      </c>
      <c r="E946" s="175">
        <v>1.23</v>
      </c>
      <c r="F946" s="175">
        <v>1.26</v>
      </c>
      <c r="G946"/>
      <c r="H946" s="164" t="s">
        <v>721</v>
      </c>
      <c r="I946" s="175">
        <v>0.51</v>
      </c>
      <c r="J946" s="175">
        <v>1</v>
      </c>
      <c r="K946" s="175">
        <v>1.03</v>
      </c>
      <c r="L946" s="175">
        <v>1.21</v>
      </c>
      <c r="M946" s="175">
        <v>1.24</v>
      </c>
      <c r="N946"/>
      <c r="O946" s="164" t="s">
        <v>721</v>
      </c>
      <c r="P946" s="175">
        <v>0.36</v>
      </c>
      <c r="Q946" s="175">
        <v>0.85</v>
      </c>
      <c r="R946" s="175">
        <v>0.88</v>
      </c>
      <c r="S946" s="175">
        <v>1.05</v>
      </c>
      <c r="T946" s="175">
        <v>1.08</v>
      </c>
      <c r="U946" s="175">
        <v>1.1299999999999999</v>
      </c>
    </row>
    <row r="947" spans="1:21" x14ac:dyDescent="0.3">
      <c r="A947" s="164">
        <v>3</v>
      </c>
      <c r="B947" s="175">
        <v>0.55000000000000004</v>
      </c>
      <c r="C947" s="175">
        <v>1.1000000000000001</v>
      </c>
      <c r="D947" s="175">
        <v>1.1499999999999999</v>
      </c>
      <c r="E947" s="175">
        <v>1.34</v>
      </c>
      <c r="F947" s="175">
        <v>1.39</v>
      </c>
      <c r="G947"/>
      <c r="H947" s="164">
        <v>3</v>
      </c>
      <c r="I947" s="175">
        <v>0.52</v>
      </c>
      <c r="J947" s="175">
        <v>1.07</v>
      </c>
      <c r="K947" s="175">
        <v>1.1200000000000001</v>
      </c>
      <c r="L947" s="175">
        <v>1.31</v>
      </c>
      <c r="M947" s="175">
        <v>1.36</v>
      </c>
      <c r="N947"/>
      <c r="O947" s="164">
        <v>3</v>
      </c>
      <c r="P947" s="175">
        <v>0.36</v>
      </c>
      <c r="Q947" s="175">
        <v>0.9</v>
      </c>
      <c r="R947" s="175">
        <v>0.96</v>
      </c>
      <c r="S947" s="175">
        <v>1.1399999999999999</v>
      </c>
      <c r="T947" s="175">
        <v>1.2</v>
      </c>
      <c r="U947" s="175">
        <v>1.25</v>
      </c>
    </row>
    <row r="948" spans="1:21" x14ac:dyDescent="0.3">
      <c r="A948" s="164">
        <v>4</v>
      </c>
      <c r="B948" s="175">
        <v>0.86</v>
      </c>
      <c r="C948" s="175">
        <v>1.22</v>
      </c>
      <c r="D948" s="175">
        <v>1.34</v>
      </c>
      <c r="E948" s="175">
        <v>1.51</v>
      </c>
      <c r="F948" s="175">
        <v>1.63</v>
      </c>
      <c r="G948"/>
      <c r="H948" s="164">
        <v>4</v>
      </c>
      <c r="I948" s="175">
        <v>0.83</v>
      </c>
      <c r="J948" s="175">
        <v>1.19</v>
      </c>
      <c r="K948" s="175">
        <v>1.31</v>
      </c>
      <c r="L948" s="175">
        <v>1.48</v>
      </c>
      <c r="M948" s="175">
        <v>1.6</v>
      </c>
      <c r="N948"/>
      <c r="O948" s="164">
        <v>4</v>
      </c>
      <c r="P948" s="175">
        <v>0.67</v>
      </c>
      <c r="Q948" s="175">
        <v>1.02</v>
      </c>
      <c r="R948" s="175">
        <v>1.1399999999999999</v>
      </c>
      <c r="S948" s="175">
        <v>1.32</v>
      </c>
      <c r="T948" s="175">
        <v>1.44</v>
      </c>
      <c r="U948" s="175">
        <v>1.57</v>
      </c>
    </row>
    <row r="949" spans="1:21" x14ac:dyDescent="0.3">
      <c r="A949" s="164">
        <v>6</v>
      </c>
      <c r="B949" s="175">
        <v>1.02</v>
      </c>
      <c r="C949" s="175">
        <v>1.74</v>
      </c>
      <c r="D949" s="175">
        <v>2.1</v>
      </c>
      <c r="E949" s="175">
        <v>2.5099999999999998</v>
      </c>
      <c r="F949" s="175">
        <v>2.87</v>
      </c>
      <c r="G949"/>
      <c r="H949" s="164">
        <v>6</v>
      </c>
      <c r="I949" s="175">
        <v>0.98</v>
      </c>
      <c r="J949" s="175">
        <v>1.7</v>
      </c>
      <c r="K949" s="175">
        <v>2.06</v>
      </c>
      <c r="L949" s="175">
        <v>2.4700000000000002</v>
      </c>
      <c r="M949" s="175">
        <v>2.84</v>
      </c>
      <c r="N949"/>
      <c r="O949" s="164">
        <v>6</v>
      </c>
      <c r="P949" s="175">
        <v>0.79</v>
      </c>
      <c r="Q949" s="175">
        <v>1.51</v>
      </c>
      <c r="R949" s="175">
        <v>1.86</v>
      </c>
      <c r="S949" s="175">
        <v>2.2799999999999998</v>
      </c>
      <c r="T949" s="175">
        <v>2.64</v>
      </c>
      <c r="U949" s="175">
        <v>3.07</v>
      </c>
    </row>
    <row r="950" spans="1:21" x14ac:dyDescent="0.3">
      <c r="A950" s="164">
        <v>8</v>
      </c>
      <c r="B950" s="175">
        <v>1.1599999999999999</v>
      </c>
      <c r="C950" s="175">
        <v>2</v>
      </c>
      <c r="D950" s="175">
        <v>2.48</v>
      </c>
      <c r="E950" s="175">
        <v>3.21</v>
      </c>
      <c r="F950" s="175">
        <v>3.62</v>
      </c>
      <c r="G950"/>
      <c r="H950" s="164">
        <v>8</v>
      </c>
      <c r="I950" s="175">
        <v>1.1200000000000001</v>
      </c>
      <c r="J950" s="175">
        <v>1.96</v>
      </c>
      <c r="K950" s="175">
        <v>2.44</v>
      </c>
      <c r="L950" s="175">
        <v>3.17</v>
      </c>
      <c r="M950" s="175">
        <v>3.58</v>
      </c>
      <c r="N950"/>
      <c r="O950" s="164">
        <v>8</v>
      </c>
      <c r="P950" s="175">
        <v>0.9</v>
      </c>
      <c r="Q950" s="175">
        <v>1.75</v>
      </c>
      <c r="R950" s="175">
        <v>2.2200000000000002</v>
      </c>
      <c r="S950" s="175">
        <v>2.95</v>
      </c>
      <c r="T950" s="175">
        <v>3.36</v>
      </c>
      <c r="U950" s="175">
        <v>3.73</v>
      </c>
    </row>
    <row r="951" spans="1:21" x14ac:dyDescent="0.3">
      <c r="A951" s="164">
        <v>10</v>
      </c>
      <c r="B951" s="175">
        <v>2.04</v>
      </c>
      <c r="C951" s="175">
        <v>3</v>
      </c>
      <c r="D951" s="175">
        <v>3.72</v>
      </c>
      <c r="E951" s="175">
        <v>4.25</v>
      </c>
      <c r="F951" s="175">
        <v>4.37</v>
      </c>
      <c r="G951"/>
      <c r="H951" s="164">
        <v>10</v>
      </c>
      <c r="I951" s="175">
        <v>2</v>
      </c>
      <c r="J951" s="175">
        <v>2.96</v>
      </c>
      <c r="K951" s="175">
        <v>3.67</v>
      </c>
      <c r="L951" s="175">
        <v>4.21</v>
      </c>
      <c r="M951" s="175">
        <v>4.32</v>
      </c>
      <c r="N951"/>
      <c r="O951" s="164">
        <v>10</v>
      </c>
      <c r="P951" s="175">
        <v>1.75</v>
      </c>
      <c r="Q951" s="175">
        <v>2.71</v>
      </c>
      <c r="R951" s="175">
        <v>3.42</v>
      </c>
      <c r="S951" s="175">
        <v>3.95</v>
      </c>
      <c r="T951" s="175">
        <v>4.07</v>
      </c>
      <c r="U951" s="175">
        <v>4.4000000000000004</v>
      </c>
    </row>
    <row r="952" spans="1:21" x14ac:dyDescent="0.3">
      <c r="A952" s="164">
        <v>12</v>
      </c>
      <c r="B952" s="175">
        <v>2.19</v>
      </c>
      <c r="C952" s="175">
        <v>3.39</v>
      </c>
      <c r="D952" s="175">
        <v>4.9400000000000004</v>
      </c>
      <c r="E952" s="175">
        <v>5.28</v>
      </c>
      <c r="F952" s="175">
        <v>5.39</v>
      </c>
      <c r="G952"/>
      <c r="H952" s="164">
        <v>12</v>
      </c>
      <c r="I952" s="175">
        <v>2.14</v>
      </c>
      <c r="J952" s="175">
        <v>3.34</v>
      </c>
      <c r="K952" s="175">
        <v>4.9000000000000004</v>
      </c>
      <c r="L952" s="175">
        <v>5.24</v>
      </c>
      <c r="M952" s="175">
        <v>5.34</v>
      </c>
      <c r="N952"/>
      <c r="O952" s="164">
        <v>12</v>
      </c>
      <c r="P952" s="175">
        <v>1.86</v>
      </c>
      <c r="Q952" s="175">
        <v>3.06</v>
      </c>
      <c r="R952" s="175">
        <v>4.62</v>
      </c>
      <c r="S952" s="175">
        <v>4.96</v>
      </c>
      <c r="T952" s="175">
        <v>5.0599999999999996</v>
      </c>
      <c r="U952" s="175">
        <v>5.37</v>
      </c>
    </row>
    <row r="953" spans="1:21" x14ac:dyDescent="0.3">
      <c r="A953" s="164">
        <v>14</v>
      </c>
      <c r="B953" s="175">
        <v>2.4</v>
      </c>
      <c r="C953" s="175">
        <v>4.38</v>
      </c>
      <c r="D953" s="175">
        <v>5.46</v>
      </c>
      <c r="E953" s="175">
        <v>6.08</v>
      </c>
      <c r="F953" s="175">
        <v>6.25</v>
      </c>
      <c r="G953"/>
      <c r="H953" s="164">
        <v>14</v>
      </c>
      <c r="I953" s="175">
        <v>2.35</v>
      </c>
      <c r="J953" s="175">
        <v>4.33</v>
      </c>
      <c r="K953" s="175">
        <v>5.41</v>
      </c>
      <c r="L953" s="175">
        <v>6.02</v>
      </c>
      <c r="M953" s="175">
        <v>6.2</v>
      </c>
      <c r="N953"/>
      <c r="O953" s="164">
        <v>14</v>
      </c>
      <c r="P953" s="175">
        <v>2.04</v>
      </c>
      <c r="Q953" s="175">
        <v>4.0199999999999996</v>
      </c>
      <c r="R953" s="175">
        <v>5.0999999999999996</v>
      </c>
      <c r="S953" s="175">
        <v>5.72</v>
      </c>
      <c r="T953" s="175">
        <v>5.89</v>
      </c>
      <c r="U953" s="176"/>
    </row>
    <row r="954" spans="1:21" x14ac:dyDescent="0.3">
      <c r="A954" s="164">
        <v>16</v>
      </c>
      <c r="B954" s="175">
        <v>3.14</v>
      </c>
      <c r="C954" s="175">
        <v>4.8899999999999997</v>
      </c>
      <c r="D954" s="175">
        <v>5.97</v>
      </c>
      <c r="E954" s="175">
        <v>6.86</v>
      </c>
      <c r="F954" s="176"/>
      <c r="G954"/>
      <c r="H954" s="164">
        <v>16</v>
      </c>
      <c r="I954" s="175">
        <v>3.09</v>
      </c>
      <c r="J954" s="175">
        <v>4.83</v>
      </c>
      <c r="K954" s="175">
        <v>5.91</v>
      </c>
      <c r="L954" s="175">
        <v>6.8</v>
      </c>
      <c r="M954" s="176"/>
      <c r="N954"/>
      <c r="O954" s="164">
        <v>16</v>
      </c>
      <c r="P954" s="175">
        <v>2.76</v>
      </c>
      <c r="Q954" s="175">
        <v>4.5</v>
      </c>
      <c r="R954" s="175">
        <v>5.58</v>
      </c>
      <c r="S954" s="175">
        <v>6.47</v>
      </c>
      <c r="T954" s="175">
        <v>6.72</v>
      </c>
      <c r="U954" s="176"/>
    </row>
    <row r="955" spans="1:21" x14ac:dyDescent="0.3">
      <c r="A955" s="164">
        <v>18</v>
      </c>
      <c r="B955" s="175">
        <v>3.61</v>
      </c>
      <c r="C955" s="175">
        <v>5.89</v>
      </c>
      <c r="D955" s="175">
        <v>6.49</v>
      </c>
      <c r="E955" s="175">
        <v>7.56</v>
      </c>
      <c r="F955" s="176"/>
      <c r="G955"/>
      <c r="H955" s="164">
        <v>18</v>
      </c>
      <c r="I955" s="175">
        <v>3.54</v>
      </c>
      <c r="J955" s="175">
        <v>5.82</v>
      </c>
      <c r="K955" s="175">
        <v>6.42</v>
      </c>
      <c r="L955" s="175">
        <v>7.5</v>
      </c>
      <c r="M955" s="176"/>
      <c r="N955"/>
      <c r="O955" s="164">
        <v>18</v>
      </c>
      <c r="P955" s="175">
        <v>3.18</v>
      </c>
      <c r="Q955" s="175">
        <v>5.46</v>
      </c>
      <c r="R955" s="175">
        <v>6.06</v>
      </c>
      <c r="S955" s="175">
        <v>7.14</v>
      </c>
      <c r="T955" s="175">
        <v>7.55</v>
      </c>
      <c r="U955" s="176"/>
    </row>
    <row r="956" spans="1:21" x14ac:dyDescent="0.3">
      <c r="A956" s="164">
        <v>20</v>
      </c>
      <c r="B956" s="175">
        <v>4.4800000000000004</v>
      </c>
      <c r="C956" s="175">
        <v>6.39</v>
      </c>
      <c r="D956" s="175">
        <v>7.72</v>
      </c>
      <c r="E956" s="175">
        <v>8.25</v>
      </c>
      <c r="F956" s="176"/>
      <c r="G956"/>
      <c r="H956" s="164">
        <v>20</v>
      </c>
      <c r="I956" s="175">
        <v>4.41</v>
      </c>
      <c r="J956" s="175">
        <v>6.33</v>
      </c>
      <c r="K956" s="175">
        <v>7.65</v>
      </c>
      <c r="L956" s="175">
        <v>8.18</v>
      </c>
      <c r="M956" s="176"/>
      <c r="N956"/>
      <c r="O956" s="164">
        <v>20</v>
      </c>
      <c r="P956" s="175">
        <v>4.0199999999999996</v>
      </c>
      <c r="Q956" s="175">
        <v>5.94</v>
      </c>
      <c r="R956" s="175">
        <v>7.26</v>
      </c>
      <c r="S956" s="175">
        <v>7.8</v>
      </c>
      <c r="T956" s="175">
        <v>8.39</v>
      </c>
      <c r="U956" s="176"/>
    </row>
    <row r="957" spans="1:21" x14ac:dyDescent="0.3">
      <c r="A957" s="164">
        <v>24</v>
      </c>
      <c r="B957" s="175">
        <v>5.08</v>
      </c>
      <c r="C957" s="175">
        <v>6.94</v>
      </c>
      <c r="D957" s="175">
        <v>8.5</v>
      </c>
      <c r="E957" s="175">
        <v>9.6300000000000008</v>
      </c>
      <c r="F957" s="176"/>
      <c r="G957"/>
      <c r="H957" s="164">
        <v>24</v>
      </c>
      <c r="I957" s="175">
        <v>5</v>
      </c>
      <c r="J957" s="175">
        <v>6.86</v>
      </c>
      <c r="K957" s="175">
        <v>8.42</v>
      </c>
      <c r="L957" s="175">
        <v>9.56</v>
      </c>
      <c r="M957" s="176"/>
      <c r="N957"/>
      <c r="O957" s="164">
        <v>24</v>
      </c>
      <c r="P957" s="175">
        <v>4.5599999999999996</v>
      </c>
      <c r="Q957" s="175">
        <v>6.42</v>
      </c>
      <c r="R957" s="175">
        <v>7.98</v>
      </c>
      <c r="S957" s="175">
        <v>9.11</v>
      </c>
      <c r="T957" s="175">
        <v>9.59</v>
      </c>
      <c r="U957" s="176"/>
    </row>
    <row r="958" spans="1:21" x14ac:dyDescent="0.3">
      <c r="A958" s="164">
        <v>26</v>
      </c>
      <c r="B958" s="175">
        <v>5.72</v>
      </c>
      <c r="C958" s="175">
        <v>7.68</v>
      </c>
      <c r="D958" s="175">
        <v>9</v>
      </c>
      <c r="E958" s="78"/>
      <c r="F958" s="78"/>
      <c r="G958"/>
      <c r="H958" s="164">
        <v>26</v>
      </c>
      <c r="I958" s="175">
        <v>5.64</v>
      </c>
      <c r="J958" s="175">
        <v>7.6</v>
      </c>
      <c r="K958" s="175">
        <v>8.92</v>
      </c>
      <c r="L958" s="78"/>
      <c r="M958" s="78"/>
      <c r="N958"/>
      <c r="O958" s="164">
        <v>26</v>
      </c>
      <c r="P958" s="175">
        <v>5.18</v>
      </c>
      <c r="Q958" s="175">
        <v>7.14</v>
      </c>
      <c r="R958" s="175">
        <v>8.4600000000000009</v>
      </c>
      <c r="S958" s="78"/>
      <c r="T958" s="78"/>
      <c r="U958" s="78"/>
    </row>
    <row r="959" spans="1:21" x14ac:dyDescent="0.3">
      <c r="A959" s="164">
        <v>28</v>
      </c>
      <c r="B959" s="175">
        <v>6.36</v>
      </c>
      <c r="C959" s="175">
        <v>8.42</v>
      </c>
      <c r="D959" s="175">
        <v>9.5</v>
      </c>
      <c r="E959" s="78"/>
      <c r="F959" s="78"/>
      <c r="G959"/>
      <c r="H959" s="164">
        <v>28</v>
      </c>
      <c r="I959" s="175">
        <v>6.28</v>
      </c>
      <c r="J959" s="175">
        <v>8.34</v>
      </c>
      <c r="K959" s="175">
        <v>9.41</v>
      </c>
      <c r="L959" s="78"/>
      <c r="M959" s="78"/>
      <c r="N959"/>
      <c r="O959" s="164">
        <v>28</v>
      </c>
      <c r="P959" s="175">
        <v>5.8</v>
      </c>
      <c r="Q959" s="175">
        <v>7.86</v>
      </c>
      <c r="R959" s="175">
        <v>8.94</v>
      </c>
      <c r="S959" s="78"/>
      <c r="T959" s="78"/>
      <c r="U959" s="78"/>
    </row>
    <row r="960" spans="1:21" x14ac:dyDescent="0.3">
      <c r="A960" s="164">
        <v>30</v>
      </c>
      <c r="B960" s="175">
        <v>7</v>
      </c>
      <c r="C960" s="175">
        <v>9.16</v>
      </c>
      <c r="D960" s="175">
        <v>10</v>
      </c>
      <c r="E960" s="78"/>
      <c r="F960" s="78"/>
      <c r="G960"/>
      <c r="H960" s="164">
        <v>30</v>
      </c>
      <c r="I960" s="175">
        <v>6.92</v>
      </c>
      <c r="J960" s="175">
        <v>9.08</v>
      </c>
      <c r="K960" s="175">
        <v>9.91</v>
      </c>
      <c r="L960" s="78"/>
      <c r="M960" s="78"/>
      <c r="N960"/>
      <c r="O960" s="164">
        <v>30</v>
      </c>
      <c r="P960" s="175">
        <v>6.42</v>
      </c>
      <c r="Q960" s="175">
        <v>8.58</v>
      </c>
      <c r="R960" s="175">
        <v>9.42</v>
      </c>
      <c r="S960" s="78"/>
      <c r="T960" s="78"/>
      <c r="U960" s="78"/>
    </row>
    <row r="961" spans="1:21" x14ac:dyDescent="0.3">
      <c r="A961" s="164">
        <v>32</v>
      </c>
      <c r="B961" s="175">
        <v>7.72</v>
      </c>
      <c r="C961" s="175">
        <v>9.9</v>
      </c>
      <c r="D961" s="175">
        <v>10.3</v>
      </c>
      <c r="E961" s="78"/>
      <c r="F961" s="78"/>
      <c r="G961"/>
      <c r="H961" s="164">
        <v>32</v>
      </c>
      <c r="I961" s="175">
        <v>7.63</v>
      </c>
      <c r="J961" s="175">
        <v>9.81</v>
      </c>
      <c r="K961" s="175">
        <v>10.210000000000001</v>
      </c>
      <c r="L961" s="78"/>
      <c r="M961" s="78"/>
      <c r="N961"/>
      <c r="O961" s="164">
        <v>32</v>
      </c>
      <c r="P961" s="175">
        <v>7.12</v>
      </c>
      <c r="Q961" s="175">
        <v>9.3000000000000007</v>
      </c>
      <c r="R961" s="175">
        <v>9.6999999999999993</v>
      </c>
      <c r="S961" s="78"/>
      <c r="T961" s="78"/>
      <c r="U961" s="78"/>
    </row>
    <row r="962" spans="1:21" x14ac:dyDescent="0.3">
      <c r="A962" s="164">
        <v>36</v>
      </c>
      <c r="B962" s="175">
        <v>9.16</v>
      </c>
      <c r="C962" s="175">
        <v>11.38</v>
      </c>
      <c r="D962" s="175">
        <v>10.9</v>
      </c>
      <c r="E962" s="78"/>
      <c r="F962" s="78"/>
      <c r="G962"/>
      <c r="H962" s="164">
        <v>36</v>
      </c>
      <c r="I962" s="175">
        <v>9.06</v>
      </c>
      <c r="J962" s="175">
        <v>11.28</v>
      </c>
      <c r="K962" s="175">
        <v>10.81</v>
      </c>
      <c r="L962" s="78"/>
      <c r="M962" s="78"/>
      <c r="N962"/>
      <c r="O962" s="164">
        <v>36</v>
      </c>
      <c r="P962" s="175">
        <v>8.51</v>
      </c>
      <c r="Q962" s="175">
        <v>10.73</v>
      </c>
      <c r="R962" s="175">
        <v>10.26</v>
      </c>
      <c r="S962" s="78"/>
      <c r="T962" s="78"/>
      <c r="U962" s="78"/>
    </row>
    <row r="963" spans="1:21" x14ac:dyDescent="0.3">
      <c r="A963" s="164">
        <v>42</v>
      </c>
      <c r="B963" s="175">
        <v>11.33</v>
      </c>
      <c r="C963" s="78"/>
      <c r="D963" s="78"/>
      <c r="E963" s="78"/>
      <c r="F963" s="78"/>
      <c r="G963"/>
      <c r="H963" s="164">
        <v>42</v>
      </c>
      <c r="I963" s="175">
        <v>11.22</v>
      </c>
      <c r="J963" s="78"/>
      <c r="K963" s="78"/>
      <c r="L963" s="78"/>
      <c r="M963" s="78"/>
      <c r="N963"/>
      <c r="O963" s="164">
        <v>42</v>
      </c>
      <c r="P963" s="175">
        <v>10.61</v>
      </c>
      <c r="Q963" s="78"/>
      <c r="R963" s="78"/>
      <c r="S963" s="78"/>
      <c r="T963" s="78"/>
      <c r="U963" s="78"/>
    </row>
    <row r="964" spans="1:21" x14ac:dyDescent="0.3">
      <c r="A964" s="164">
        <v>48</v>
      </c>
      <c r="B964" s="175">
        <v>13.73</v>
      </c>
      <c r="C964" s="78"/>
      <c r="D964" s="78"/>
      <c r="E964" s="78"/>
      <c r="F964" s="78"/>
      <c r="G964"/>
      <c r="H964" s="164">
        <v>48</v>
      </c>
      <c r="I964" s="175">
        <v>13.61</v>
      </c>
      <c r="J964" s="78"/>
      <c r="K964" s="78"/>
      <c r="L964" s="78"/>
      <c r="M964" s="78"/>
      <c r="N964"/>
      <c r="O964" s="164">
        <v>48</v>
      </c>
      <c r="P964" s="175">
        <v>12.95</v>
      </c>
      <c r="Q964" s="78"/>
      <c r="R964" s="78"/>
      <c r="S964" s="78"/>
      <c r="T964" s="78"/>
      <c r="U964" s="89"/>
    </row>
    <row r="965" spans="1:21" x14ac:dyDescent="0.3">
      <c r="A965"/>
      <c r="B965"/>
      <c r="C965"/>
      <c r="D965"/>
      <c r="E965"/>
      <c r="F965"/>
      <c r="G965"/>
      <c r="H965"/>
      <c r="I965"/>
      <c r="J965"/>
      <c r="K965"/>
      <c r="L965"/>
      <c r="M965"/>
      <c r="N965"/>
    </row>
    <row r="966" spans="1:21" ht="88.2" x14ac:dyDescent="0.3">
      <c r="A966" s="174" t="s">
        <v>841</v>
      </c>
      <c r="B966" s="171" t="s">
        <v>842</v>
      </c>
      <c r="C966" s="171" t="s">
        <v>843</v>
      </c>
      <c r="D966" s="171" t="s">
        <v>844</v>
      </c>
      <c r="E966" s="171" t="s">
        <v>845</v>
      </c>
      <c r="F966" s="171" t="s">
        <v>846</v>
      </c>
      <c r="G966"/>
      <c r="H966" s="174" t="s">
        <v>847</v>
      </c>
      <c r="I966" s="171" t="s">
        <v>842</v>
      </c>
      <c r="J966" s="171" t="s">
        <v>843</v>
      </c>
      <c r="K966" s="171" t="s">
        <v>844</v>
      </c>
      <c r="L966" s="171" t="s">
        <v>845</v>
      </c>
      <c r="M966" s="171" t="s">
        <v>846</v>
      </c>
      <c r="N966"/>
    </row>
    <row r="967" spans="1:21" x14ac:dyDescent="0.3">
      <c r="A967" s="169" t="s">
        <v>848</v>
      </c>
      <c r="B967" s="169">
        <v>0.55000000000000004</v>
      </c>
      <c r="C967" s="169">
        <v>0.74</v>
      </c>
      <c r="D967" s="169">
        <v>0.81</v>
      </c>
      <c r="E967" s="169">
        <v>0.9</v>
      </c>
      <c r="F967" s="169">
        <v>0.97</v>
      </c>
      <c r="G967"/>
      <c r="H967" s="169" t="s">
        <v>848</v>
      </c>
      <c r="I967" s="169">
        <v>0.35</v>
      </c>
      <c r="J967" s="169">
        <v>0.54</v>
      </c>
      <c r="K967" s="169">
        <v>0.61</v>
      </c>
      <c r="L967" s="169">
        <v>0.7</v>
      </c>
      <c r="M967" s="169">
        <v>0.77</v>
      </c>
      <c r="N967"/>
    </row>
    <row r="968" spans="1:21" x14ac:dyDescent="0.3">
      <c r="A968" s="169" t="s">
        <v>849</v>
      </c>
      <c r="B968" s="169">
        <v>1.24</v>
      </c>
      <c r="C968" s="169">
        <v>1.76</v>
      </c>
      <c r="D968" s="169">
        <v>2.15</v>
      </c>
      <c r="E968" s="169">
        <v>2.44</v>
      </c>
      <c r="F968" s="169">
        <v>2.37</v>
      </c>
      <c r="G968"/>
      <c r="H968" s="169" t="s">
        <v>849</v>
      </c>
      <c r="I968" s="169">
        <v>0.94</v>
      </c>
      <c r="J968" s="169">
        <v>1.36</v>
      </c>
      <c r="K968" s="169">
        <v>1.85</v>
      </c>
      <c r="L968" s="169">
        <v>2.14</v>
      </c>
      <c r="M968" s="169">
        <v>2.0699999999999998</v>
      </c>
      <c r="N968"/>
    </row>
    <row r="969" spans="1:21" x14ac:dyDescent="0.3">
      <c r="A969" s="169" t="s">
        <v>850</v>
      </c>
      <c r="B969" s="169">
        <v>1.88</v>
      </c>
      <c r="C969" s="169">
        <v>2.82</v>
      </c>
      <c r="D969" s="169">
        <v>3.41</v>
      </c>
      <c r="E969" s="169">
        <v>3.89</v>
      </c>
      <c r="F969" s="169">
        <v>4.0199999999999996</v>
      </c>
      <c r="G969"/>
      <c r="H969" s="169" t="s">
        <v>850</v>
      </c>
      <c r="I969" s="169">
        <v>1.48</v>
      </c>
      <c r="J969" s="169">
        <v>2.42</v>
      </c>
      <c r="K969" s="169">
        <v>3.01</v>
      </c>
      <c r="L969" s="169">
        <v>3.49</v>
      </c>
      <c r="M969" s="169">
        <v>3.62</v>
      </c>
      <c r="N969"/>
    </row>
    <row r="970" spans="1:21" x14ac:dyDescent="0.3">
      <c r="A970" s="169" t="s">
        <v>851</v>
      </c>
      <c r="B970" s="169">
        <v>2.98</v>
      </c>
      <c r="C970" s="169">
        <v>3.99</v>
      </c>
      <c r="D970" s="169">
        <v>4.83</v>
      </c>
      <c r="E970" s="169">
        <v>5.44</v>
      </c>
      <c r="F970" s="169">
        <v>5.7</v>
      </c>
      <c r="G970"/>
      <c r="H970" s="169" t="s">
        <v>851</v>
      </c>
      <c r="I970" s="169">
        <v>2.48</v>
      </c>
      <c r="J970" s="169">
        <v>3.49</v>
      </c>
      <c r="K970" s="169">
        <v>4.33</v>
      </c>
      <c r="L970" s="169">
        <v>4.9400000000000004</v>
      </c>
      <c r="M970" s="169">
        <v>5.2</v>
      </c>
      <c r="N970"/>
    </row>
    <row r="971" spans="1:21" x14ac:dyDescent="0.3">
      <c r="A971"/>
      <c r="B971"/>
      <c r="C971"/>
      <c r="D971"/>
      <c r="E971"/>
      <c r="F971"/>
      <c r="G971"/>
      <c r="H971"/>
      <c r="I971"/>
      <c r="J971"/>
      <c r="K971"/>
      <c r="L971"/>
      <c r="M971"/>
      <c r="N971"/>
    </row>
    <row r="972" spans="1:21" x14ac:dyDescent="0.3">
      <c r="A972"/>
      <c r="B972"/>
      <c r="C972"/>
      <c r="D972"/>
      <c r="E972"/>
      <c r="F972"/>
      <c r="G972"/>
      <c r="H972"/>
      <c r="I972"/>
      <c r="J972"/>
      <c r="K972"/>
      <c r="L972"/>
      <c r="M972"/>
      <c r="N972"/>
    </row>
    <row r="973" spans="1:21" x14ac:dyDescent="0.3">
      <c r="A973"/>
      <c r="B973"/>
      <c r="C973"/>
      <c r="D973"/>
      <c r="E973"/>
      <c r="F973"/>
      <c r="G973"/>
      <c r="H973"/>
      <c r="I973"/>
      <c r="J973"/>
      <c r="K973"/>
      <c r="L973"/>
      <c r="M973"/>
      <c r="N973"/>
    </row>
    <row r="974" spans="1:21" x14ac:dyDescent="0.3">
      <c r="A974"/>
      <c r="B974"/>
      <c r="C974"/>
      <c r="D974"/>
      <c r="E974"/>
      <c r="F974"/>
      <c r="G974"/>
      <c r="H974"/>
      <c r="I974"/>
      <c r="J974"/>
      <c r="K974"/>
      <c r="L974"/>
      <c r="M974"/>
      <c r="N974"/>
    </row>
    <row r="975" spans="1:21" x14ac:dyDescent="0.3">
      <c r="A975"/>
      <c r="B975"/>
      <c r="C975"/>
      <c r="D975"/>
      <c r="E975"/>
      <c r="F975"/>
      <c r="G975"/>
      <c r="H975"/>
      <c r="I975"/>
      <c r="J975"/>
      <c r="K975"/>
      <c r="L975"/>
      <c r="M975"/>
      <c r="N975"/>
    </row>
    <row r="976" spans="1:21" x14ac:dyDescent="0.3">
      <c r="A976"/>
      <c r="B976"/>
      <c r="C976"/>
      <c r="D976"/>
      <c r="E976"/>
      <c r="F976"/>
      <c r="G976"/>
      <c r="H976"/>
      <c r="I976"/>
      <c r="J976"/>
      <c r="K976"/>
      <c r="L976"/>
      <c r="M976"/>
      <c r="N976"/>
    </row>
    <row r="977" customFormat="1" x14ac:dyDescent="0.3"/>
    <row r="978" customFormat="1" x14ac:dyDescent="0.3"/>
    <row r="979" customFormat="1" x14ac:dyDescent="0.3"/>
    <row r="980" customFormat="1" x14ac:dyDescent="0.3"/>
    <row r="981" customFormat="1" x14ac:dyDescent="0.3"/>
    <row r="982" customFormat="1" x14ac:dyDescent="0.3"/>
    <row r="983" customFormat="1" x14ac:dyDescent="0.3"/>
    <row r="984" customFormat="1" x14ac:dyDescent="0.3"/>
    <row r="985" customFormat="1" x14ac:dyDescent="0.3"/>
    <row r="986" customFormat="1" x14ac:dyDescent="0.3"/>
    <row r="987" customFormat="1" x14ac:dyDescent="0.3"/>
    <row r="988" customFormat="1" x14ac:dyDescent="0.3"/>
    <row r="989" customFormat="1" x14ac:dyDescent="0.3"/>
    <row r="990" customFormat="1" x14ac:dyDescent="0.3"/>
    <row r="991" customFormat="1" x14ac:dyDescent="0.3"/>
    <row r="992" customFormat="1" x14ac:dyDescent="0.3"/>
    <row r="993" spans="1:14" x14ac:dyDescent="0.3">
      <c r="A993"/>
      <c r="B993"/>
      <c r="C993"/>
      <c r="D993"/>
      <c r="E993"/>
      <c r="F993"/>
      <c r="G993"/>
      <c r="H993"/>
      <c r="I993"/>
      <c r="J993"/>
      <c r="K993"/>
      <c r="L993"/>
      <c r="M993"/>
      <c r="N993"/>
    </row>
    <row r="994" spans="1:14" x14ac:dyDescent="0.3">
      <c r="A994"/>
      <c r="B994"/>
      <c r="C994"/>
      <c r="D994"/>
      <c r="E994"/>
      <c r="F994"/>
      <c r="G994"/>
      <c r="H994"/>
      <c r="I994"/>
      <c r="J994"/>
      <c r="K994"/>
      <c r="L994"/>
      <c r="M994"/>
      <c r="N994"/>
    </row>
    <row r="995" spans="1:14" x14ac:dyDescent="0.3">
      <c r="A995"/>
      <c r="B995"/>
      <c r="C995"/>
      <c r="D995"/>
      <c r="E995"/>
      <c r="F995"/>
      <c r="G995"/>
      <c r="H995"/>
      <c r="I995"/>
      <c r="J995"/>
      <c r="K995"/>
      <c r="L995"/>
      <c r="M995"/>
      <c r="N995"/>
    </row>
    <row r="996" spans="1:14" x14ac:dyDescent="0.3">
      <c r="A996"/>
      <c r="B996"/>
      <c r="C996"/>
      <c r="D996"/>
      <c r="E996"/>
      <c r="F996"/>
      <c r="G996"/>
      <c r="H996"/>
      <c r="I996"/>
      <c r="J996"/>
      <c r="K996"/>
      <c r="L996"/>
      <c r="M996"/>
      <c r="N996"/>
    </row>
    <row r="997" spans="1:14" x14ac:dyDescent="0.3">
      <c r="A997"/>
      <c r="B997"/>
      <c r="C997"/>
      <c r="D997"/>
      <c r="E997"/>
      <c r="F997"/>
      <c r="G997"/>
      <c r="H997"/>
      <c r="I997"/>
      <c r="J997"/>
      <c r="K997"/>
      <c r="L997"/>
      <c r="M997"/>
      <c r="N997"/>
    </row>
    <row r="998" spans="1:14" x14ac:dyDescent="0.3">
      <c r="A998"/>
      <c r="B998"/>
      <c r="C998"/>
      <c r="D998"/>
      <c r="E998"/>
      <c r="F998"/>
      <c r="G998"/>
      <c r="H998"/>
      <c r="I998"/>
      <c r="J998"/>
      <c r="K998"/>
      <c r="L998"/>
      <c r="M998"/>
      <c r="N998"/>
    </row>
    <row r="999" spans="1:14" x14ac:dyDescent="0.3">
      <c r="A999"/>
      <c r="B999"/>
      <c r="C999"/>
      <c r="D999"/>
      <c r="E999"/>
      <c r="F999"/>
      <c r="G999"/>
      <c r="H999"/>
      <c r="I999"/>
      <c r="J999"/>
      <c r="K999"/>
      <c r="L999"/>
      <c r="M999"/>
      <c r="N999"/>
    </row>
    <row r="1000" spans="1:14" x14ac:dyDescent="0.3">
      <c r="A1000"/>
      <c r="B1000"/>
      <c r="C1000"/>
      <c r="D1000"/>
      <c r="E1000"/>
      <c r="F1000"/>
      <c r="G1000"/>
      <c r="H1000"/>
      <c r="I1000"/>
      <c r="J1000"/>
      <c r="K1000"/>
      <c r="L1000"/>
      <c r="M1000"/>
      <c r="N1000"/>
    </row>
    <row r="1001" spans="1:14" x14ac:dyDescent="0.3">
      <c r="A1001"/>
      <c r="B1001"/>
      <c r="C1001"/>
      <c r="D1001"/>
      <c r="E1001"/>
      <c r="F1001"/>
      <c r="G1001"/>
      <c r="H1001"/>
      <c r="I1001"/>
      <c r="J1001"/>
      <c r="K1001"/>
      <c r="L1001"/>
      <c r="M1001"/>
      <c r="N1001"/>
    </row>
    <row r="1002" spans="1:14" x14ac:dyDescent="0.3">
      <c r="A1002"/>
      <c r="B1002"/>
      <c r="C1002"/>
      <c r="D1002"/>
      <c r="E1002"/>
      <c r="F1002"/>
      <c r="G1002"/>
      <c r="H1002"/>
      <c r="I1002"/>
      <c r="J1002"/>
      <c r="K1002"/>
      <c r="L1002"/>
      <c r="M1002"/>
      <c r="N1002"/>
    </row>
    <row r="1003" spans="1:14" x14ac:dyDescent="0.3">
      <c r="A1003"/>
      <c r="B1003"/>
      <c r="C1003"/>
      <c r="D1003"/>
      <c r="E1003"/>
      <c r="F1003"/>
      <c r="G1003"/>
      <c r="H1003"/>
      <c r="I1003"/>
      <c r="J1003"/>
      <c r="K1003"/>
      <c r="L1003"/>
      <c r="M1003"/>
      <c r="N1003"/>
    </row>
    <row r="1004" spans="1:14" x14ac:dyDescent="0.3">
      <c r="A1004"/>
      <c r="B1004"/>
      <c r="C1004"/>
      <c r="D1004"/>
      <c r="E1004"/>
      <c r="F1004"/>
      <c r="G1004"/>
      <c r="H1004"/>
      <c r="I1004"/>
      <c r="J1004"/>
      <c r="K1004"/>
      <c r="L1004"/>
      <c r="M1004"/>
      <c r="N1004"/>
    </row>
    <row r="1005" spans="1:14" ht="50.4" x14ac:dyDescent="0.3">
      <c r="A1005" s="174" t="s">
        <v>852</v>
      </c>
      <c r="B1005" s="171" t="s">
        <v>853</v>
      </c>
      <c r="C1005" s="171" t="s">
        <v>854</v>
      </c>
      <c r="D1005" s="171" t="s">
        <v>855</v>
      </c>
      <c r="E1005" s="171" t="s">
        <v>856</v>
      </c>
      <c r="F1005" s="171" t="s">
        <v>857</v>
      </c>
      <c r="G1005" s="171" t="s">
        <v>858</v>
      </c>
      <c r="H1005" s="171" t="s">
        <v>859</v>
      </c>
      <c r="I1005" s="171" t="s">
        <v>860</v>
      </c>
      <c r="J1005"/>
      <c r="K1005"/>
      <c r="L1005"/>
      <c r="M1005"/>
      <c r="N1005"/>
    </row>
    <row r="1006" spans="1:14" ht="36" x14ac:dyDescent="0.3">
      <c r="A1006" s="172" t="s">
        <v>861</v>
      </c>
      <c r="B1006" s="169">
        <v>0.5</v>
      </c>
      <c r="C1006" s="169">
        <v>1.5</v>
      </c>
      <c r="D1006" s="169">
        <v>3</v>
      </c>
      <c r="E1006" s="169">
        <v>4.2</v>
      </c>
      <c r="F1006" s="169">
        <v>5.2</v>
      </c>
      <c r="G1006" s="169">
        <v>6.8</v>
      </c>
      <c r="H1006" s="169">
        <v>8.3000000000000007</v>
      </c>
      <c r="I1006" s="169">
        <v>10.199999999999999</v>
      </c>
      <c r="J1006"/>
      <c r="K1006"/>
      <c r="L1006"/>
      <c r="M1006"/>
      <c r="N1006"/>
    </row>
    <row r="1007" spans="1:14" ht="36" x14ac:dyDescent="0.3">
      <c r="A1007" s="172" t="s">
        <v>862</v>
      </c>
      <c r="B1007" s="169">
        <v>0.5</v>
      </c>
      <c r="C1007" s="169">
        <v>1.6</v>
      </c>
      <c r="D1007" s="169">
        <v>2.2999999999999998</v>
      </c>
      <c r="E1007" s="169">
        <v>2.9</v>
      </c>
      <c r="F1007" s="169">
        <v>4.2</v>
      </c>
      <c r="G1007" s="169">
        <v>6</v>
      </c>
      <c r="H1007" s="169">
        <v>8.4</v>
      </c>
      <c r="I1007" s="169">
        <v>12</v>
      </c>
      <c r="J1007"/>
      <c r="K1007"/>
      <c r="L1007"/>
      <c r="M1007"/>
      <c r="N1007"/>
    </row>
    <row r="1008" spans="1:14" ht="24" x14ac:dyDescent="0.3">
      <c r="A1008" s="172" t="s">
        <v>863</v>
      </c>
      <c r="B1008" s="169">
        <v>0.3</v>
      </c>
      <c r="C1008" s="169">
        <v>0.9</v>
      </c>
      <c r="D1008" s="169">
        <v>1.8</v>
      </c>
      <c r="E1008" s="169">
        <v>2.6</v>
      </c>
      <c r="F1008" s="169">
        <v>3.2</v>
      </c>
      <c r="G1008" s="169">
        <v>4</v>
      </c>
      <c r="H1008" s="169">
        <v>5.3</v>
      </c>
      <c r="I1008" s="169">
        <v>6.6</v>
      </c>
      <c r="J1008"/>
      <c r="K1008"/>
      <c r="L1008"/>
      <c r="M1008"/>
      <c r="N1008"/>
    </row>
    <row r="1009" spans="1:14" ht="24" x14ac:dyDescent="0.3">
      <c r="A1009" s="172" t="s">
        <v>864</v>
      </c>
      <c r="B1009" s="169">
        <v>0.5</v>
      </c>
      <c r="C1009" s="169">
        <v>1.5</v>
      </c>
      <c r="D1009" s="169">
        <v>3</v>
      </c>
      <c r="E1009" s="169">
        <v>4.2</v>
      </c>
      <c r="F1009" s="169">
        <v>5.4</v>
      </c>
      <c r="G1009" s="169">
        <v>6.8</v>
      </c>
      <c r="H1009" s="169">
        <v>8.3000000000000007</v>
      </c>
      <c r="I1009" s="169">
        <v>10.199999999999999</v>
      </c>
      <c r="J1009"/>
      <c r="K1009"/>
      <c r="L1009"/>
      <c r="M1009"/>
      <c r="N1009"/>
    </row>
    <row r="1010" spans="1:14" ht="24" x14ac:dyDescent="0.3">
      <c r="A1010" s="172" t="s">
        <v>865</v>
      </c>
      <c r="B1010" s="169">
        <v>1</v>
      </c>
      <c r="C1010" s="169">
        <v>4</v>
      </c>
      <c r="D1010" s="169">
        <v>5.8</v>
      </c>
      <c r="E1010" s="169">
        <v>7.5</v>
      </c>
      <c r="F1010" s="169">
        <v>9.1</v>
      </c>
      <c r="G1010" s="169">
        <v>10.7</v>
      </c>
      <c r="H1010" s="169">
        <v>12.5</v>
      </c>
      <c r="I1010" s="169">
        <v>14</v>
      </c>
      <c r="J1010"/>
      <c r="K1010"/>
      <c r="L1010"/>
      <c r="M1010"/>
      <c r="N1010"/>
    </row>
    <row r="1011" spans="1:14" ht="48" x14ac:dyDescent="0.3">
      <c r="A1011" s="172" t="s">
        <v>866</v>
      </c>
      <c r="B1011" s="169">
        <v>0.5</v>
      </c>
      <c r="C1011" s="169">
        <v>2</v>
      </c>
      <c r="D1011" s="169">
        <v>4</v>
      </c>
      <c r="E1011" s="169">
        <v>5.0999999999999996</v>
      </c>
      <c r="F1011" s="169">
        <v>6</v>
      </c>
      <c r="G1011" s="169">
        <v>7</v>
      </c>
      <c r="H1011" s="169">
        <v>7.9</v>
      </c>
      <c r="I1011" s="169">
        <v>9.1999999999999993</v>
      </c>
      <c r="J1011"/>
      <c r="K1011"/>
      <c r="L1011"/>
      <c r="M1011"/>
      <c r="N1011"/>
    </row>
    <row r="1012" spans="1:14" ht="24" x14ac:dyDescent="0.3">
      <c r="A1012" s="172" t="s">
        <v>867</v>
      </c>
      <c r="B1012" s="169">
        <v>1</v>
      </c>
      <c r="C1012" s="169">
        <v>4</v>
      </c>
      <c r="D1012" s="169">
        <v>6.7</v>
      </c>
      <c r="E1012" s="169">
        <v>7.5</v>
      </c>
      <c r="F1012" s="169">
        <v>10.9</v>
      </c>
      <c r="G1012" s="169">
        <v>12.8</v>
      </c>
      <c r="H1012" s="169">
        <v>15</v>
      </c>
      <c r="I1012" s="169">
        <v>16.100000000000001</v>
      </c>
      <c r="J1012"/>
      <c r="K1012"/>
      <c r="L1012"/>
      <c r="M1012"/>
      <c r="N1012"/>
    </row>
    <row r="1013" spans="1:14" ht="48" x14ac:dyDescent="0.3">
      <c r="A1013" s="172" t="s">
        <v>868</v>
      </c>
      <c r="B1013" s="169">
        <v>0.5</v>
      </c>
      <c r="C1013" s="169">
        <v>2</v>
      </c>
      <c r="D1013" s="169">
        <v>2.5</v>
      </c>
      <c r="E1013" s="169">
        <v>3.4</v>
      </c>
      <c r="F1013" s="169">
        <v>4.0999999999999996</v>
      </c>
      <c r="G1013" s="169">
        <v>5.8</v>
      </c>
      <c r="H1013" s="169">
        <v>8.6</v>
      </c>
      <c r="I1013" s="169">
        <v>9.4</v>
      </c>
      <c r="J1013"/>
      <c r="K1013"/>
      <c r="L1013"/>
      <c r="M1013"/>
      <c r="N1013"/>
    </row>
    <row r="1014" spans="1:14" ht="60" x14ac:dyDescent="0.3">
      <c r="A1014" s="172" t="s">
        <v>869</v>
      </c>
      <c r="B1014" s="169">
        <v>0.5</v>
      </c>
      <c r="C1014" s="169">
        <v>2</v>
      </c>
      <c r="D1014" s="169">
        <v>2.6</v>
      </c>
      <c r="E1014" s="169">
        <v>3.3</v>
      </c>
      <c r="F1014" s="169">
        <v>4.3</v>
      </c>
      <c r="G1014" s="169">
        <v>5.7</v>
      </c>
      <c r="H1014" s="169">
        <v>8.1999999999999993</v>
      </c>
      <c r="I1014" s="169">
        <v>9.6</v>
      </c>
      <c r="J1014"/>
      <c r="K1014"/>
      <c r="L1014"/>
      <c r="M1014"/>
      <c r="N1014"/>
    </row>
    <row r="1015" spans="1:14" ht="72" x14ac:dyDescent="0.3">
      <c r="A1015" s="172" t="s">
        <v>870</v>
      </c>
      <c r="B1015" s="169">
        <v>3.5</v>
      </c>
      <c r="C1015" s="169">
        <v>3.8</v>
      </c>
      <c r="D1015" s="169">
        <v>5.6</v>
      </c>
      <c r="E1015" s="169">
        <v>6.65</v>
      </c>
      <c r="F1015" s="169">
        <v>8.4</v>
      </c>
      <c r="G1015" s="169">
        <v>11.4</v>
      </c>
      <c r="H1015" s="169">
        <v>17.399999999999999</v>
      </c>
      <c r="I1015" s="169">
        <v>20.100000000000001</v>
      </c>
      <c r="J1015"/>
      <c r="K1015"/>
      <c r="L1015"/>
      <c r="M1015"/>
      <c r="N1015"/>
    </row>
    <row r="1016" spans="1:14" ht="60" x14ac:dyDescent="0.3">
      <c r="A1016" s="172" t="s">
        <v>871</v>
      </c>
      <c r="B1016" s="169">
        <v>2</v>
      </c>
      <c r="C1016" s="169">
        <v>4</v>
      </c>
      <c r="D1016" s="169">
        <v>5.3</v>
      </c>
      <c r="E1016" s="169">
        <v>6</v>
      </c>
      <c r="F1016" s="169">
        <v>6.8</v>
      </c>
      <c r="G1016" s="169">
        <v>7.6</v>
      </c>
      <c r="H1016" s="169">
        <v>8.6</v>
      </c>
      <c r="I1016" s="169">
        <v>9.4</v>
      </c>
      <c r="J1016"/>
      <c r="K1016"/>
      <c r="L1016"/>
      <c r="M1016"/>
      <c r="N1016"/>
    </row>
    <row r="1017" spans="1:14" ht="24" x14ac:dyDescent="0.3">
      <c r="A1017" s="172" t="s">
        <v>872</v>
      </c>
      <c r="B1017" s="169">
        <v>0.5</v>
      </c>
      <c r="C1017" s="169">
        <v>1.5</v>
      </c>
      <c r="D1017" s="169">
        <v>3</v>
      </c>
      <c r="E1017" s="169">
        <v>4.2</v>
      </c>
      <c r="F1017" s="169">
        <v>6</v>
      </c>
      <c r="G1017" s="169">
        <v>7.2</v>
      </c>
      <c r="H1017" s="169">
        <v>9</v>
      </c>
      <c r="I1017" s="169">
        <v>10.199999999999999</v>
      </c>
      <c r="J1017"/>
      <c r="K1017"/>
      <c r="L1017"/>
      <c r="M1017"/>
      <c r="N1017"/>
    </row>
    <row r="1018" spans="1:14" ht="36" x14ac:dyDescent="0.3">
      <c r="A1018" s="172" t="s">
        <v>873</v>
      </c>
      <c r="B1018" s="169">
        <v>0.5</v>
      </c>
      <c r="C1018" s="169">
        <v>1.6</v>
      </c>
      <c r="D1018" s="169">
        <v>2.6</v>
      </c>
      <c r="E1018" s="169">
        <v>3.7</v>
      </c>
      <c r="F1018" s="169">
        <v>5.0999999999999996</v>
      </c>
      <c r="G1018" s="169">
        <v>7</v>
      </c>
      <c r="H1018" s="169">
        <v>9.1999999999999993</v>
      </c>
      <c r="I1018" s="169">
        <v>12</v>
      </c>
      <c r="J1018"/>
      <c r="K1018"/>
      <c r="L1018"/>
      <c r="M1018"/>
      <c r="N1018"/>
    </row>
    <row r="1019" spans="1:14" ht="24" x14ac:dyDescent="0.3">
      <c r="A1019" s="172" t="s">
        <v>874</v>
      </c>
      <c r="B1019" s="169">
        <v>0.5</v>
      </c>
      <c r="C1019" s="169">
        <v>1.5</v>
      </c>
      <c r="D1019" s="169">
        <v>3</v>
      </c>
      <c r="E1019" s="169">
        <v>4.2</v>
      </c>
      <c r="F1019" s="169">
        <v>6</v>
      </c>
      <c r="G1019" s="169">
        <v>7.2</v>
      </c>
      <c r="H1019" s="169">
        <v>9</v>
      </c>
      <c r="I1019" s="169">
        <v>10.199999999999999</v>
      </c>
      <c r="J1019"/>
      <c r="K1019"/>
      <c r="L1019"/>
      <c r="M1019"/>
      <c r="N1019"/>
    </row>
    <row r="1020" spans="1:14" ht="24" x14ac:dyDescent="0.3">
      <c r="A1020" s="172" t="s">
        <v>875</v>
      </c>
      <c r="B1020" s="169">
        <v>0.3</v>
      </c>
      <c r="C1020" s="169">
        <v>0.9</v>
      </c>
      <c r="D1020" s="169">
        <v>1.8</v>
      </c>
      <c r="E1020" s="169">
        <v>2.6</v>
      </c>
      <c r="F1020" s="169">
        <v>3.8</v>
      </c>
      <c r="G1020" s="169">
        <v>4.5999999999999996</v>
      </c>
      <c r="H1020" s="169">
        <v>5.8</v>
      </c>
      <c r="I1020" s="169">
        <v>6.6</v>
      </c>
      <c r="J1020"/>
      <c r="K1020"/>
      <c r="L1020"/>
      <c r="M1020"/>
      <c r="N1020"/>
    </row>
    <row r="1021" spans="1:14" x14ac:dyDescent="0.3">
      <c r="A1021"/>
      <c r="B1021"/>
      <c r="C1021"/>
      <c r="D1021"/>
      <c r="E1021"/>
      <c r="F1021"/>
      <c r="G1021"/>
      <c r="H1021"/>
      <c r="I1021"/>
      <c r="J1021"/>
      <c r="K1021"/>
      <c r="L1021"/>
      <c r="M1021"/>
      <c r="N1021"/>
    </row>
    <row r="1022" spans="1:14" ht="72" x14ac:dyDescent="0.3">
      <c r="A1022" s="173" t="s">
        <v>876</v>
      </c>
      <c r="B1022" s="172" t="s">
        <v>877</v>
      </c>
      <c r="C1022" s="172" t="s">
        <v>878</v>
      </c>
      <c r="D1022" s="172" t="s">
        <v>879</v>
      </c>
      <c r="E1022" s="172" t="s">
        <v>880</v>
      </c>
      <c r="F1022" s="172" t="s">
        <v>881</v>
      </c>
      <c r="G1022"/>
      <c r="H1022" s="173" t="s">
        <v>882</v>
      </c>
      <c r="I1022" s="172" t="s">
        <v>877</v>
      </c>
      <c r="J1022" s="172" t="s">
        <v>878</v>
      </c>
      <c r="K1022" s="172" t="s">
        <v>879</v>
      </c>
      <c r="L1022" s="172" t="s">
        <v>880</v>
      </c>
      <c r="M1022" s="172" t="s">
        <v>881</v>
      </c>
      <c r="N1022"/>
    </row>
    <row r="1023" spans="1:14" x14ac:dyDescent="0.3">
      <c r="A1023" s="171" t="s">
        <v>883</v>
      </c>
      <c r="B1023" s="170">
        <v>0.24</v>
      </c>
      <c r="C1023" s="170">
        <v>0.3</v>
      </c>
      <c r="D1023" s="170">
        <v>0.42</v>
      </c>
      <c r="E1023" s="170">
        <v>0.6</v>
      </c>
      <c r="F1023" s="170">
        <v>0.9</v>
      </c>
      <c r="G1023"/>
      <c r="H1023" s="171" t="s">
        <v>883</v>
      </c>
      <c r="I1023" s="170">
        <v>0.24</v>
      </c>
      <c r="J1023" s="170">
        <v>0.36</v>
      </c>
      <c r="K1023" s="170">
        <v>0.48</v>
      </c>
      <c r="L1023" s="170">
        <v>0.78</v>
      </c>
      <c r="M1023" s="169">
        <v>1.02</v>
      </c>
      <c r="N1023"/>
    </row>
    <row r="1024" spans="1:14" x14ac:dyDescent="0.3">
      <c r="A1024" s="171" t="s">
        <v>884</v>
      </c>
      <c r="B1024" s="170">
        <v>0.74</v>
      </c>
      <c r="C1024" s="170">
        <v>0.92500000000000004</v>
      </c>
      <c r="D1024" s="170">
        <v>1.2949999999999999</v>
      </c>
      <c r="E1024" s="170">
        <v>1.85</v>
      </c>
      <c r="F1024" s="170">
        <v>2.7749999999999999</v>
      </c>
      <c r="G1024"/>
      <c r="H1024" s="171" t="s">
        <v>884</v>
      </c>
      <c r="I1024" s="170">
        <v>0.74</v>
      </c>
      <c r="J1024" s="170">
        <v>1.1100000000000001</v>
      </c>
      <c r="K1024" s="170">
        <v>1.48</v>
      </c>
      <c r="L1024" s="170">
        <v>2.4049999999999998</v>
      </c>
      <c r="M1024" s="169">
        <v>3.145</v>
      </c>
      <c r="N1024"/>
    </row>
    <row r="1025" spans="1:14" x14ac:dyDescent="0.3">
      <c r="A1025" s="171" t="s">
        <v>885</v>
      </c>
      <c r="B1025" s="170">
        <v>1.22</v>
      </c>
      <c r="C1025" s="170">
        <v>1.5249999999999999</v>
      </c>
      <c r="D1025" s="170">
        <v>2.1349999999999998</v>
      </c>
      <c r="E1025" s="170">
        <v>3.05</v>
      </c>
      <c r="F1025" s="170">
        <v>4.5750000000000002</v>
      </c>
      <c r="G1025"/>
      <c r="H1025" s="171" t="s">
        <v>885</v>
      </c>
      <c r="I1025" s="170">
        <v>1.22</v>
      </c>
      <c r="J1025" s="170">
        <v>1.83</v>
      </c>
      <c r="K1025" s="170">
        <v>2.44</v>
      </c>
      <c r="L1025" s="170">
        <v>3.9649999999999999</v>
      </c>
      <c r="M1025" s="169">
        <v>5.1849999999999996</v>
      </c>
      <c r="N1025"/>
    </row>
    <row r="1026" spans="1:14" x14ac:dyDescent="0.3">
      <c r="A1026" s="171" t="s">
        <v>886</v>
      </c>
      <c r="B1026" s="170">
        <v>1.7</v>
      </c>
      <c r="C1026" s="170">
        <v>2.125</v>
      </c>
      <c r="D1026" s="170">
        <v>2.9750000000000001</v>
      </c>
      <c r="E1026" s="170">
        <v>4.25</v>
      </c>
      <c r="F1026" s="170">
        <v>6.375</v>
      </c>
      <c r="G1026"/>
      <c r="H1026" s="171" t="s">
        <v>886</v>
      </c>
      <c r="I1026" s="170">
        <v>1.7</v>
      </c>
      <c r="J1026" s="170">
        <v>2.5499999999999998</v>
      </c>
      <c r="K1026" s="170">
        <v>3.4</v>
      </c>
      <c r="L1026" s="170">
        <v>5.5250000000000004</v>
      </c>
      <c r="M1026" s="169">
        <v>7.2249999999999996</v>
      </c>
      <c r="N1026"/>
    </row>
    <row r="1027" spans="1:14" x14ac:dyDescent="0.3">
      <c r="A1027" s="171" t="s">
        <v>887</v>
      </c>
      <c r="B1027" s="170">
        <v>2.1800000000000002</v>
      </c>
      <c r="C1027" s="170">
        <v>2.7250000000000001</v>
      </c>
      <c r="D1027" s="170">
        <v>3.8149999999999999</v>
      </c>
      <c r="E1027" s="170">
        <v>5.45</v>
      </c>
      <c r="F1027" s="170">
        <v>8.1750000000000007</v>
      </c>
      <c r="G1027"/>
      <c r="H1027" s="171" t="s">
        <v>887</v>
      </c>
      <c r="I1027" s="170">
        <v>2.1800000000000002</v>
      </c>
      <c r="J1027" s="170">
        <v>3.27</v>
      </c>
      <c r="K1027" s="170">
        <v>4.3600000000000003</v>
      </c>
      <c r="L1027" s="170">
        <v>7.085</v>
      </c>
      <c r="M1027" s="169">
        <v>9.2650000000000006</v>
      </c>
      <c r="N1027"/>
    </row>
    <row r="1028" spans="1:14" x14ac:dyDescent="0.3">
      <c r="A1028" s="171" t="s">
        <v>888</v>
      </c>
      <c r="B1028" s="170">
        <v>2.66</v>
      </c>
      <c r="C1028" s="170">
        <v>3.3250000000000002</v>
      </c>
      <c r="D1028" s="170">
        <v>4.6550000000000002</v>
      </c>
      <c r="E1028" s="170">
        <v>6.65</v>
      </c>
      <c r="F1028" s="170">
        <v>9.9749999999999996</v>
      </c>
      <c r="G1028"/>
      <c r="H1028" s="171" t="s">
        <v>888</v>
      </c>
      <c r="I1028" s="170">
        <v>2.66</v>
      </c>
      <c r="J1028" s="170">
        <v>3.99</v>
      </c>
      <c r="K1028" s="170">
        <v>5.32</v>
      </c>
      <c r="L1028" s="170">
        <v>8.6449999999999996</v>
      </c>
      <c r="M1028" s="169">
        <v>11.305</v>
      </c>
      <c r="N1028"/>
    </row>
    <row r="1029" spans="1:14" x14ac:dyDescent="0.3">
      <c r="A1029" s="171" t="s">
        <v>889</v>
      </c>
      <c r="B1029" s="170">
        <v>3.14</v>
      </c>
      <c r="C1029" s="170">
        <v>3.9249999999999998</v>
      </c>
      <c r="D1029" s="170">
        <v>5.4950000000000001</v>
      </c>
      <c r="E1029" s="170">
        <v>7.85</v>
      </c>
      <c r="F1029" s="170">
        <v>11.775</v>
      </c>
      <c r="G1029"/>
      <c r="H1029" s="171" t="s">
        <v>889</v>
      </c>
      <c r="I1029" s="170">
        <v>3.14</v>
      </c>
      <c r="J1029" s="170">
        <v>4.71</v>
      </c>
      <c r="K1029" s="170">
        <v>6.28</v>
      </c>
      <c r="L1029" s="170">
        <v>10.205</v>
      </c>
      <c r="M1029" s="169">
        <v>13.345000000000001</v>
      </c>
      <c r="N1029"/>
    </row>
    <row r="1030" spans="1:14" x14ac:dyDescent="0.3">
      <c r="A1030" s="171" t="s">
        <v>890</v>
      </c>
      <c r="B1030" s="170">
        <v>3.62</v>
      </c>
      <c r="C1030" s="170">
        <v>4.5250000000000004</v>
      </c>
      <c r="D1030" s="170">
        <v>6.335</v>
      </c>
      <c r="E1030" s="170">
        <v>9.0500000000000007</v>
      </c>
      <c r="F1030" s="170">
        <v>13.574999999999999</v>
      </c>
      <c r="G1030"/>
      <c r="H1030" s="171" t="s">
        <v>890</v>
      </c>
      <c r="I1030" s="170">
        <v>3.62</v>
      </c>
      <c r="J1030" s="170">
        <v>5.43</v>
      </c>
      <c r="K1030" s="170">
        <v>7.24</v>
      </c>
      <c r="L1030" s="170">
        <v>11.765000000000001</v>
      </c>
      <c r="M1030" s="169">
        <v>15.385</v>
      </c>
      <c r="N1030"/>
    </row>
    <row r="1031" spans="1:14" x14ac:dyDescent="0.3">
      <c r="A1031" s="171" t="s">
        <v>891</v>
      </c>
      <c r="B1031" s="170">
        <v>4.0999999999999996</v>
      </c>
      <c r="C1031" s="170">
        <v>5.125</v>
      </c>
      <c r="D1031" s="170">
        <v>7.1749999999999998</v>
      </c>
      <c r="E1031" s="170">
        <v>10.25</v>
      </c>
      <c r="F1031" s="170">
        <v>15.375</v>
      </c>
      <c r="G1031"/>
      <c r="H1031" s="171" t="s">
        <v>892</v>
      </c>
      <c r="I1031" s="170">
        <v>4.0999999999999996</v>
      </c>
      <c r="J1031" s="170">
        <v>6.15</v>
      </c>
      <c r="K1031" s="170">
        <v>8.1999999999999993</v>
      </c>
      <c r="L1031" s="170">
        <v>13.324999999999999</v>
      </c>
      <c r="M1031" s="169">
        <v>17.425000000000001</v>
      </c>
      <c r="N1031"/>
    </row>
    <row r="1032" spans="1:14" x14ac:dyDescent="0.3">
      <c r="A1032" s="171" t="s">
        <v>893</v>
      </c>
      <c r="B1032" s="170">
        <v>4.58</v>
      </c>
      <c r="C1032" s="170">
        <v>5.7249999999999996</v>
      </c>
      <c r="D1032" s="170">
        <v>8.0150000000000006</v>
      </c>
      <c r="E1032" s="170">
        <v>11.45</v>
      </c>
      <c r="F1032" s="170">
        <v>17.175000000000001</v>
      </c>
      <c r="G1032"/>
      <c r="H1032" s="171" t="s">
        <v>893</v>
      </c>
      <c r="I1032" s="170">
        <v>4.58</v>
      </c>
      <c r="J1032" s="170">
        <v>6.87</v>
      </c>
      <c r="K1032" s="170">
        <v>9.16</v>
      </c>
      <c r="L1032" s="170">
        <v>14.885</v>
      </c>
      <c r="M1032" s="169">
        <v>19.465</v>
      </c>
      <c r="N1032"/>
    </row>
    <row r="1033" spans="1:14" x14ac:dyDescent="0.3">
      <c r="A1033" s="171" t="s">
        <v>894</v>
      </c>
      <c r="B1033" s="170">
        <v>5.22</v>
      </c>
      <c r="C1033" s="170">
        <v>6.5250000000000004</v>
      </c>
      <c r="D1033" s="170">
        <v>9.1349999999999998</v>
      </c>
      <c r="E1033" s="170">
        <v>13.05</v>
      </c>
      <c r="F1033" s="170">
        <v>19.574999999999999</v>
      </c>
      <c r="G1033"/>
      <c r="H1033" s="171" t="s">
        <v>894</v>
      </c>
      <c r="I1033" s="170">
        <v>5.22</v>
      </c>
      <c r="J1033" s="170">
        <v>7.83</v>
      </c>
      <c r="K1033" s="170">
        <v>10.44</v>
      </c>
      <c r="L1033" s="170">
        <v>16.965</v>
      </c>
      <c r="M1033" s="169">
        <v>22.184999999999999</v>
      </c>
      <c r="N1033"/>
    </row>
    <row r="1034" spans="1:14" x14ac:dyDescent="0.3">
      <c r="A1034" s="171" t="s">
        <v>895</v>
      </c>
      <c r="B1034" s="170">
        <v>6.02</v>
      </c>
      <c r="C1034" s="170">
        <v>7.5250000000000004</v>
      </c>
      <c r="D1034" s="170">
        <v>10.535</v>
      </c>
      <c r="E1034" s="170">
        <v>15.05</v>
      </c>
      <c r="F1034" s="170">
        <v>22.574999999999999</v>
      </c>
      <c r="G1034"/>
      <c r="H1034" s="171" t="s">
        <v>895</v>
      </c>
      <c r="I1034" s="170">
        <v>6.02</v>
      </c>
      <c r="J1034" s="170">
        <v>9.0299999999999994</v>
      </c>
      <c r="K1034" s="170">
        <v>12.04</v>
      </c>
      <c r="L1034" s="170">
        <v>19.565000000000001</v>
      </c>
      <c r="M1034" s="169">
        <v>25.585000000000001</v>
      </c>
      <c r="N1034"/>
    </row>
    <row r="1035" spans="1:14" x14ac:dyDescent="0.3">
      <c r="A1035" s="171" t="s">
        <v>896</v>
      </c>
      <c r="B1035" s="170">
        <v>6.82</v>
      </c>
      <c r="C1035" s="170">
        <v>8.5250000000000004</v>
      </c>
      <c r="D1035" s="170">
        <v>11.935</v>
      </c>
      <c r="E1035" s="170">
        <v>17.05</v>
      </c>
      <c r="F1035" s="170">
        <v>25.574999999999999</v>
      </c>
      <c r="G1035"/>
      <c r="H1035" s="171" t="s">
        <v>896</v>
      </c>
      <c r="I1035" s="170">
        <v>6.82</v>
      </c>
      <c r="J1035" s="170">
        <v>10.23</v>
      </c>
      <c r="K1035" s="170">
        <v>13.64</v>
      </c>
      <c r="L1035" s="170">
        <v>22.164999999999999</v>
      </c>
      <c r="M1035" s="169">
        <v>28.984999999999999</v>
      </c>
      <c r="N1035"/>
    </row>
    <row r="1036" spans="1:14" x14ac:dyDescent="0.3">
      <c r="A1036" s="171" t="s">
        <v>897</v>
      </c>
      <c r="B1036" s="170">
        <v>7.62</v>
      </c>
      <c r="C1036" s="170">
        <v>9.5250000000000004</v>
      </c>
      <c r="D1036" s="170">
        <v>13.335000000000001</v>
      </c>
      <c r="E1036" s="170">
        <v>19.05</v>
      </c>
      <c r="F1036" s="170">
        <v>28.574999999999999</v>
      </c>
      <c r="G1036"/>
      <c r="H1036" s="171" t="s">
        <v>897</v>
      </c>
      <c r="I1036" s="170">
        <v>7.62</v>
      </c>
      <c r="J1036" s="170">
        <v>11.43</v>
      </c>
      <c r="K1036" s="170">
        <v>15.24</v>
      </c>
      <c r="L1036" s="170">
        <v>24.765000000000001</v>
      </c>
      <c r="M1036" s="169">
        <v>32.384999999999998</v>
      </c>
      <c r="N1036"/>
    </row>
    <row r="1093" spans="15:27" x14ac:dyDescent="0.3">
      <c r="P1093" s="165"/>
      <c r="U1093" s="165"/>
      <c r="V1093" s="165"/>
      <c r="W1093" s="166"/>
      <c r="X1093" s="166"/>
      <c r="Y1093" s="166"/>
      <c r="Z1093" s="166"/>
      <c r="AA1093" s="166"/>
    </row>
    <row r="1094" spans="15:27" x14ac:dyDescent="0.3">
      <c r="O1094" s="165"/>
      <c r="P1094" s="165"/>
      <c r="U1094" s="165"/>
      <c r="V1094" s="165"/>
      <c r="W1094" s="166"/>
      <c r="X1094" s="166"/>
      <c r="Y1094" s="166"/>
      <c r="Z1094" s="166"/>
      <c r="AA1094" s="166"/>
    </row>
    <row r="1095" spans="15:27" x14ac:dyDescent="0.3">
      <c r="O1095" s="166"/>
      <c r="P1095" s="166"/>
      <c r="U1095" s="166"/>
      <c r="V1095" s="166"/>
      <c r="W1095" s="166"/>
      <c r="X1095" s="166"/>
      <c r="Y1095" s="166"/>
      <c r="Z1095" s="166"/>
      <c r="AA1095" s="166"/>
    </row>
    <row r="1096" spans="15:27" x14ac:dyDescent="0.3">
      <c r="O1096" s="166"/>
      <c r="P1096" s="166"/>
      <c r="U1096" s="166"/>
      <c r="V1096" s="166"/>
      <c r="W1096" s="166"/>
      <c r="X1096" s="166"/>
      <c r="Y1096" s="166"/>
      <c r="Z1096" s="166"/>
      <c r="AA1096" s="166"/>
    </row>
    <row r="1097" spans="15:27" x14ac:dyDescent="0.3">
      <c r="O1097" s="166"/>
    </row>
    <row r="1098" spans="15:27" x14ac:dyDescent="0.3">
      <c r="Q1098" s="165"/>
      <c r="R1098" s="165"/>
      <c r="S1098" s="165"/>
      <c r="T1098" s="166"/>
    </row>
    <row r="1099" spans="15:27" x14ac:dyDescent="0.3">
      <c r="Q1099" s="165"/>
      <c r="R1099" s="165"/>
      <c r="S1099" s="165"/>
      <c r="T1099" s="166"/>
    </row>
    <row r="1100" spans="15:27" x14ac:dyDescent="0.3">
      <c r="Q1100" s="166"/>
      <c r="R1100" s="165"/>
      <c r="S1100" s="166"/>
      <c r="T1100" s="166"/>
    </row>
    <row r="1101" spans="15:27" x14ac:dyDescent="0.3">
      <c r="Q1101" s="166"/>
      <c r="R1101" s="165"/>
      <c r="S1101" s="166"/>
      <c r="T1101" s="166"/>
    </row>
  </sheetData>
  <sheetProtection algorithmName="SHA-512" hashValue="/8+IkMPaEgn8+dHIK1IpaVPu+Tbw4Qw2v5FzlvMioi604d5BhAuwJWUi1yiLbpKIZfuKTpLyN3oHHSuhWZgwjw==" saltValue="tapIFgcI8GzS1NewSzk04A==" spinCount="100000" sheet="1" objects="1" scenarios="1"/>
  <mergeCells count="30">
    <mergeCell ref="V883:W883"/>
    <mergeCell ref="X883:Y883"/>
    <mergeCell ref="R882:T882"/>
    <mergeCell ref="A854:A861"/>
    <mergeCell ref="A812:A819"/>
    <mergeCell ref="A820:A827"/>
    <mergeCell ref="A828:Q828"/>
    <mergeCell ref="A845:Q845"/>
    <mergeCell ref="A846:A853"/>
    <mergeCell ref="A759:Q759"/>
    <mergeCell ref="A1:N1"/>
    <mergeCell ref="P1:AC1"/>
    <mergeCell ref="A761:A768"/>
    <mergeCell ref="A786:A793"/>
    <mergeCell ref="A811:Q811"/>
    <mergeCell ref="A889:A909"/>
    <mergeCell ref="D910:H910"/>
    <mergeCell ref="A911:A930"/>
    <mergeCell ref="A769:A776"/>
    <mergeCell ref="A777:Q777"/>
    <mergeCell ref="A778:A785"/>
    <mergeCell ref="D882:H882"/>
    <mergeCell ref="A794:Q794"/>
    <mergeCell ref="A795:A802"/>
    <mergeCell ref="A803:A810"/>
    <mergeCell ref="A829:A836"/>
    <mergeCell ref="A837:A844"/>
    <mergeCell ref="A871:A878"/>
    <mergeCell ref="A862:Q862"/>
    <mergeCell ref="A863:A870"/>
  </mergeCells>
  <dataValidations disablePrompts="1" count="1">
    <dataValidation allowBlank="1" showInputMessage="1" showErrorMessage="1" sqref="S846:S853 S795:S802" xr:uid="{00000000-0002-0000-0500-000000000000}"/>
  </dataValidations>
  <pageMargins left="0.7" right="0.7" top="0.75" bottom="0.75" header="0.3" footer="0.3"/>
  <pageSetup orientation="portrait" r:id="rId1"/>
</worksheet>
</file>

<file path=customUI/_rels/customUI14.xml.rels><?xml version="1.0" encoding="UTF-8" standalone="yes"?>
<Relationships xmlns="http://schemas.openxmlformats.org/package/2006/relationships"><Relationship Id="indicadores" Type="http://schemas.openxmlformats.org/officeDocument/2006/relationships/image" Target="images/e3f07194-638b-437c-bd0d-79b74216e45b.png"/><Relationship Id="lupa" Type="http://schemas.openxmlformats.org/officeDocument/2006/relationships/image" Target="images/696078ac-4d35-4f96-9d8d-8342904229df.png"/><Relationship Id="saplogon_32x32" Type="http://schemas.openxmlformats.org/officeDocument/2006/relationships/image" Target="images/fce78839-1422-4fe3-a57c-159e22b6b78e.png"/><Relationship Id="Materiales" Type="http://schemas.openxmlformats.org/officeDocument/2006/relationships/image" Target="images/2799ea8d-4334-4e40-9770-932175ac2abe.png"/></Relationships>
</file>

<file path=customUI/customUI14.xml><?xml version="1.0" encoding="utf-8"?>
<customUI xmlns="http://schemas.microsoft.com/office/2009/07/customui">
  <ribbon startFromScratch="false">
    <tabs>
      <tab id="customTab1" label="CPM" insertBeforeMso="TabHome">
        <group id="customGroup1" label="SAP">
          <button id="customButton1" label="Conexión SAP" image="saplogon_32x32" size="large" onAction="Conectar" supertip="Al seleccionar, abrirá la conexión con SAP"/>
          <editBox id="editbox1" label="Equipo: " imageMso="FileWorkFlowFasks" onChange="editbox1_onChange" sizeString="1234567890" screentip="Seleccionar #Equipo en SAP" enabled="true"/>
          <button id="customButton2" label="Buscar Equipo" imageMso="FileWorkflowTasks" size="normal" onAction="Buscar_Equipo" screentip="Click para consultar en SAP la caracterización del equipo" supertip="Se abrirá el módulo IH06 para consultar la caracterización del equipo"/>
          <button id="customButton3" label="Borrar Equipo" imageMso="InkDeleteAllInk" size="normal" onAction="Borrar_Equipo"/>
          <editBox id="editbox3" label=" OM: " imageMso="FileWorkFlowFasks" onChange="editbox3_onChange" sizeString="1234567890" screentip="Seleccionar #OM en SAP"/>
          <button id="customButton4" label="Buscar OM" imageMso="FileViewDigitalSignatures" size="normal" onAction="Buscar_OM"/>
          <button id="customButton5" label="Borrar OM" imageMso="ReviewDeleteComment" size="normal" onAction="Borrar_OM"/>
        </group>
        <group id="customGroup3" label="Estimación HH">
          <button id="customButton8" label="Insertar Operación" imageMso="CellsInsertDialog" size="large" onAction="Insertar_Operación"/>
          <button id="customButton9" label="Insertar SubOperación" imageMso="TableRowsInsertBelowWord" size="large" onAction="Insertar_SubOperación"/>
          <button id="customButton10" label="Insertar Actividad" imageMso="TableRowsInsertBelowWord" size="normal" onAction="Insertar_Actividad"/>
          <button id="customButton11" label="Eliminar Fila" imageMso="CellsDelete" size="normal" onAction="Eliminar_Fila"/>
          <button id="customButton12" label="Calcular" imageMso="Calculator" size="normal" onAction="Calcular"/>
        </group>
        <group id="customGroup4" label="Estimación Materiales">
          <button id="customButton13" label="Incluir Material" imageMso="ReviewTrackChanges" size="large" onAction="Reserva"/>
          <button id="customButton14" label="Buscar Código" imageMso="MailMergeResultsPreview" size="large" onAction="Buscar_Código"/>
        </group>
        <group id="customGroup2" label="Programación">
          <editBox id="editbox2" label="Código WBS" onChange="editbox2_onChange" sizeString="1234567890" screentip="Seleccionar Código WBS" enabled="true"/>
          <button id="customButton6" label="Insertar Código WBS" imageMso="WordArtEditTextClassic" size="normal" onAction="Insertar_WBS" screentip="Click para ingresar código WBS" supertip="Deber ser igual al código EDT del programa"/>
          <button id="customButton7" label="Borrar Código WBS" imageMso="RecordsDeleteRecord" size="normal" onAction="Borrar_WBS"/>
          <button id="customButton16" label="Diagrama Gantt" imageMso="ShowSchedulingPage" size="large" onAction="Diag_Gantt"/>
        </group>
        <group id="customGroup5" label="Normas">
          <button id="customButton15" label="Planeador" imageMso="ConditionIsNotBetween" size="large" onAction="hta_DVA"/>
        </group>
        <group id="customGroup6" label="Encabezado">
          <button id="customButton17" label="Llenar Encabezado" imageMso="ReviewTrackChanges" size="large" onAction="Llenar_Encabezado"/>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e9167ecd-741c-402c-97ce-d0beb444a4ff">
      <UserInfo>
        <DisplayName>Alberto Carlos Correa Paba</DisplayName>
        <AccountId>12</AccountId>
        <AccountType/>
      </UserInfo>
      <UserInfo>
        <DisplayName>Mario Daniel Bayter Martinez</DisplayName>
        <AccountId>13</AccountId>
        <AccountType/>
      </UserInfo>
      <UserInfo>
        <DisplayName>Ronny Enrique Martinez Lee</DisplayName>
        <AccountId>14</AccountId>
        <AccountType/>
      </UserInfo>
      <UserInfo>
        <DisplayName>Rodrigo de Jesus Ballestas Marrugo</DisplayName>
        <AccountId>15</AccountId>
        <AccountType/>
      </UserInfo>
      <UserInfo>
        <DisplayName>Edwin Jimenez Ramos</DisplayName>
        <AccountId>16</AccountId>
        <AccountType/>
      </UserInfo>
      <UserInfo>
        <DisplayName>Edinson Iglesias Padilla</DisplayName>
        <AccountId>17</AccountId>
        <AccountType/>
      </UserInfo>
      <UserInfo>
        <DisplayName>Nicolás Villa Velásquez (Bureau Veritas)</DisplayName>
        <AccountId>20</AccountId>
        <AccountType/>
      </UserInfo>
      <UserInfo>
        <DisplayName>Jose Dario Ruiz Arroyave (Bureau Veritas)</DisplayName>
        <AccountId>21</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174DAE58E9A50C4699924498DA51E254" ma:contentTypeVersion="14" ma:contentTypeDescription="Crear nuevo documento." ma:contentTypeScope="" ma:versionID="8ef57090960aa55bed76017486fa2389">
  <xsd:schema xmlns:xsd="http://www.w3.org/2001/XMLSchema" xmlns:xs="http://www.w3.org/2001/XMLSchema" xmlns:p="http://schemas.microsoft.com/office/2006/metadata/properties" xmlns:ns3="2b41422a-62f3-407e-b3a9-e1d45bb9365c" xmlns:ns4="e9167ecd-741c-402c-97ce-d0beb444a4ff" targetNamespace="http://schemas.microsoft.com/office/2006/metadata/properties" ma:root="true" ma:fieldsID="785e6578058446296e775a6e2dedc447" ns3:_="" ns4:_="">
    <xsd:import namespace="2b41422a-62f3-407e-b3a9-e1d45bb9365c"/>
    <xsd:import namespace="e9167ecd-741c-402c-97ce-d0beb444a4ff"/>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Location" minOccurs="0"/>
                <xsd:element ref="ns3:MediaServiceAutoKeyPoints" minOccurs="0"/>
                <xsd:element ref="ns3:MediaServiceKeyPoint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41422a-62f3-407e-b3a9-e1d45bb936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9167ecd-741c-402c-97ce-d0beb444a4ff" elementFormDefault="qualified">
    <xsd:import namespace="http://schemas.microsoft.com/office/2006/documentManagement/types"/>
    <xsd:import namespace="http://schemas.microsoft.com/office/infopath/2007/PartnerControls"/>
    <xsd:element name="SharedWithUsers" ma:index="15"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les de uso compartido" ma:internalName="SharedWithDetails" ma:readOnly="true">
      <xsd:simpleType>
        <xsd:restriction base="dms:Note">
          <xsd:maxLength value="255"/>
        </xsd:restriction>
      </xsd:simpleType>
    </xsd:element>
    <xsd:element name="SharingHintHash" ma:index="17"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840F6B8-CA78-49DB-A5BA-348A3A783A40}">
  <ds:schemaRefs>
    <ds:schemaRef ds:uri="http://schemas.microsoft.com/sharepoint/v3/contenttype/forms"/>
  </ds:schemaRefs>
</ds:datastoreItem>
</file>

<file path=customXml/itemProps2.xml><?xml version="1.0" encoding="utf-8"?>
<ds:datastoreItem xmlns:ds="http://schemas.openxmlformats.org/officeDocument/2006/customXml" ds:itemID="{1A4626AD-95E6-4F8B-9FDD-FFDBA74159B1}">
  <ds:schemaRefs>
    <ds:schemaRef ds:uri="2b41422a-62f3-407e-b3a9-e1d45bb9365c"/>
    <ds:schemaRef ds:uri="http://purl.org/dc/elements/1.1/"/>
    <ds:schemaRef ds:uri="http://schemas.microsoft.com/office/2006/documentManagement/types"/>
    <ds:schemaRef ds:uri="http://purl.org/dc/terms/"/>
    <ds:schemaRef ds:uri="http://schemas.openxmlformats.org/package/2006/metadata/core-properties"/>
    <ds:schemaRef ds:uri="http://purl.org/dc/dcmitype/"/>
    <ds:schemaRef ds:uri="http://www.w3.org/XML/1998/namespace"/>
    <ds:schemaRef ds:uri="e9167ecd-741c-402c-97ce-d0beb444a4ff"/>
    <ds:schemaRef ds:uri="http://schemas.microsoft.com/office/infopath/2007/PartnerControls"/>
    <ds:schemaRef ds:uri="http://schemas.microsoft.com/office/2006/metadata/properties"/>
  </ds:schemaRefs>
</ds:datastoreItem>
</file>

<file path=customXml/itemProps3.xml><?xml version="1.0" encoding="utf-8"?>
<ds:datastoreItem xmlns:ds="http://schemas.openxmlformats.org/officeDocument/2006/customXml" ds:itemID="{3EF2FBB8-0444-472C-80C4-A3E23E725B4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b41422a-62f3-407e-b3a9-e1d45bb9365c"/>
    <ds:schemaRef ds:uri="e9167ecd-741c-402c-97ce-d0beb444a4f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a4305987-cf78-4f93-9d64-bf18af65397b}" enabled="0" method="" siteId="{a4305987-cf78-4f93-9d64-bf18af65397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vt:i4>
      </vt:variant>
    </vt:vector>
  </HeadingPairs>
  <TitlesOfParts>
    <vt:vector size="8" baseType="lpstr">
      <vt:lpstr>Plantilla</vt:lpstr>
      <vt:lpstr>Diag_Gantt</vt:lpstr>
      <vt:lpstr>Versión</vt:lpstr>
      <vt:lpstr>Materiales</vt:lpstr>
      <vt:lpstr>Hoja1</vt:lpstr>
      <vt:lpstr>tablas</vt:lpstr>
      <vt:lpstr>Plantilla!Área_de_impresión</vt:lpstr>
      <vt:lpstr>Materiales!Títulos_a_imprimir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Eder Alexso Carreño Quintero</dc:creator>
  <cp:keywords/>
  <dc:description/>
  <cp:lastModifiedBy>Cristian Montenegro</cp:lastModifiedBy>
  <cp:revision/>
  <cp:lastPrinted>2021-12-20T14:09:00Z</cp:lastPrinted>
  <dcterms:created xsi:type="dcterms:W3CDTF">2019-03-28T12:26:32Z</dcterms:created>
  <dcterms:modified xsi:type="dcterms:W3CDTF">2022-04-08T23:08:03Z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0x010100174DAE58E9A50C4699924498DA51E254</vt:lpwstr>
  </property>
</Properties>
</file>