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50438" documentId="11_F31CFB3AE24F9CCB551DAA83D0EA78B91B13C8D3" xr6:coauthVersionLast="47" xr6:coauthVersionMax="47" xr10:uidLastSave="{B2AC2C5E-5366-4103-BB45-535E44283C3C}"/>
  <bookViews>
    <workbookView xWindow="28680" yWindow="-120" windowWidth="29040" windowHeight="15840" tabRatio="782" activeTab="7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<sst xmlns="http://schemas.openxmlformats.org/spreadsheetml/2006/main" count="170" uniqueCount="123">
  <si>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</si>
  <si>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Orden de Mantenimiento:</t>
  </si>
  <si>
    <t xml:space="preserve"> </t>
  </si>
  <si>
    <t>FECHA DE DILIGENCIAMIENTO:</t>
  </si>
  <si>
    <t>PLANTA O LUGAR: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</si>
  <si>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</si>
  <si>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</si>
  <si>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</si>
  <si>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</si>
  <si>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</si>
  <si>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</si>
  <si>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Factor de Peligro</t>
  </si>
  <si>
    <t>Factor de Efectos</t>
  </si>
  <si>
    <t>CATEGORIA DE AISLAMIENTO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</si>
  <si>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</si>
  <si>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</si>
  <si>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</si>
  <si>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</si>
  <si>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</si>
  <si>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</si>
  <si>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</si>
  <si>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</si>
  <si>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</si>
  <si>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Fecha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</si>
  <si>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</si>
  <si>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</si>
  <si>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</si>
  <si>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</si>
  <si>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</si>
  <si>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</si>
  <si>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</si>
  <si>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APROBO: _________________________________</t>
  </si>
  <si>
    <t>VALIDADO: ________________________________</t>
  </si>
  <si>
    <t>Número Paquete de Trabajo</t>
  </si>
  <si>
    <t>Elemento PEP (SAP)</t>
  </si>
  <si>
    <t>Centro de Costos</t>
  </si>
  <si>
    <t>Contrato OSM No.</t>
  </si>
  <si>
    <t>Planta</t>
  </si>
  <si>
    <t>Descripción breve del alcance</t>
  </si>
  <si>
    <t>Fecha OSM</t>
  </si>
  <si>
    <t>Planeador Ecopetrol</t>
  </si>
  <si>
    <t>Revisado por:</t>
  </si>
  <si>
    <t>Aprobado por:</t>
  </si>
  <si>
    <t>LISTA DE DOCUMENTOS</t>
  </si>
  <si>
    <t>Contenido del paquete de trabajo</t>
  </si>
  <si>
    <t>Realizado por Ecopetrol y/o Contratista de la OSP</t>
  </si>
  <si>
    <t>01 Portada</t>
  </si>
  <si>
    <t>SI</t>
  </si>
  <si>
    <t>Funcionario</t>
  </si>
  <si>
    <t>Nombre</t>
  </si>
  <si>
    <t>LISTADO DE PLANOS Y/O DOCUMENTOS A ENTREGAR</t>
  </si>
  <si>
    <t>Descripción</t>
  </si>
  <si>
    <t>Mantenimiento general: limpieza de haz de tubos,  aplicar soldadura de sello a todos los couplings</t>
  </si>
  <si>
    <t>ANDAMIOS REQUERIDOS</t>
  </si>
  <si>
    <t xml:space="preserve">DESCRIPCIÓN </t>
  </si>
  <si>
    <t>CLASE - DIMENSIONES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</si>
  <si>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</si>
  <si>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TAG Equipo</t>
  </si>
  <si>
    <t>Servicio del equipo</t>
  </si>
  <si>
    <t>Dependencia responsable</t>
  </si>
  <si>
    <t>Sistema (donde pertenece el equipo)</t>
  </si>
  <si>
    <t>Responsable contratista OSP</t>
  </si>
  <si>
    <t>Responsable contratista OSM</t>
  </si>
  <si>
    <t>P&amp;ID</t>
  </si>
  <si>
    <t>am ó pm</t>
  </si>
  <si>
    <t>EQUIPO O SISTEMA OBJETO DEL TRABAJO:</t>
  </si>
  <si>
    <t xml:space="preserve">Duración </t>
  </si>
  <si>
    <t>Contratista Planeación Detallada</t>
  </si>
  <si>
    <t>Contrato OSP No.</t>
  </si>
  <si>
    <t>Fecha Paquete</t>
  </si>
  <si>
    <t>Realizado por Contratista de la OSM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</si>
  <si>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</si>
  <si>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</si>
  <si>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</si>
  <si>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</si>
  <si>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</si>
  <si>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</si>
  <si>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</si>
  <si>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</si>
  <si>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</si>
  <si>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</si>
  <si>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</si>
  <si>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</si>
  <si>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</si>
  <si>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</si>
  <si>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</si>
  <si>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</si>
  <si>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</si>
  <si>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</si>
  <si>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</si>
  <si>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</si>
  <si>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E</t>
  </si>
  <si>
    <t>TIPO I</t>
  </si>
  <si>
    <t>INSTALACIÓN:</t>
  </si>
  <si>
    <t>NORMALIZACIÓN:</t>
  </si>
  <si>
    <t>LISTADO DE MATERIALES COMPRADOS</t>
  </si>
  <si>
    <t>Cod Material</t>
  </si>
  <si>
    <t>Texto breve de material</t>
  </si>
  <si>
    <t>Descripción Ampliada</t>
  </si>
  <si>
    <t>Unidad medida base</t>
  </si>
  <si>
    <t>Cantidad solicitada</t>
  </si>
  <si>
    <t>Plano / Documento</t>
  </si>
  <si>
    <t>Loop Diagram</t>
  </si>
  <si>
    <t>Location Diagram</t>
  </si>
  <si>
    <t>Andamio 1.</t>
  </si>
  <si>
    <t>Andamio 2.</t>
  </si>
  <si>
    <t>Cant. Obra</t>
  </si>
  <si>
    <t>Unidad</t>
  </si>
  <si>
    <t>HH
Norma TOTAL</t>
  </si>
  <si>
    <t>Cantidad 
de Recursos</t>
  </si>
  <si>
    <t>LISTA DE ACTIVIDADES</t>
  </si>
  <si>
    <t>OP/SubOP</t>
  </si>
  <si>
    <t>Descripción de la Operación/Suboperación</t>
  </si>
  <si>
    <t>Isometrico</t>
  </si>
  <si>
    <t>N/A</t>
  </si>
  <si>
    <t>N° Reserva</t>
  </si>
  <si>
    <t>Posición Reserva</t>
  </si>
  <si>
    <t>Operación</t>
  </si>
  <si>
    <t>Puesto Descarga</t>
  </si>
  <si>
    <t>Nombre Operación</t>
  </si>
  <si>
    <t>Especialidad</t>
  </si>
  <si>
    <t>Factor Taller:</t>
  </si>
  <si>
    <t>Factor Planta: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</si>
</sst>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7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0" fillId="0" borderId="0" xfId="0" applyAlignment="1"/>
    <xf numFmtId="0" fontId="18" fillId="0" borderId="17" xfId="1" quotePrefix="1" applyNumberFormat="1" applyFont="1" applyBorder="1" applyAlignment="1">
      <alignment horizontal="center" vertical="center" wrapText="1"/>
    </xf>
    <xf numFmtId="0" fontId="18" fillId="0" borderId="18" xfId="1" applyNumberFormat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15" fillId="0" borderId="17" xfId="1" applyFont="1" applyBorder="1" applyAlignment="1">
      <alignment horizontal="center" vertical="center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2" fillId="3" borderId="33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PLAN CARGUE RIS (for nuevo)"/>
      <sheetName val="Modelo financiero"/>
      <sheetName val="GCB2000"/>
      <sheetName val="Admin Cost Flow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Parametros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INSP TUBERIA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LAN_CARGUE_RIS_(for_nuevo)2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OBRA CIVIL RQ 06"/>
      <sheetName val=""/>
      <sheetName val="CECOS SOP"/>
      <sheetName val="SEGUIMIENTO"/>
      <sheetName val="Malas Prácticas eliminadas"/>
      <sheetName val="Plan Anual Mantto"/>
      <sheetName val="Mano de Obra"/>
      <sheetName val="PROYECTOS TRÁNSITO"/>
      <sheetName val="PARÁMETROS (2)"/>
      <sheetName val="PARÁMETROS"/>
      <sheetName val="PLAN MENSUAL"/>
      <sheetName val="Modelo financiero-Alter_3"/>
      <sheetName val="F.Caja"/>
      <sheetName val="General"/>
      <sheetName val="LISTA DE LAS MACROS "/>
      <sheetName val="EMPRESA"/>
      <sheetName val="Cronograma"/>
      <sheetName val="DATABASE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Listas_Desplegables"/>
      <sheetName val="CONFIGURACION"/>
      <sheetName val="FORMULAS1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Pañete Impermeabilizado"/>
      <sheetName val="BENEF. DE ESPEC."/>
      <sheetName val="SALARIOS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BASE CG1"/>
      <sheetName val="Menu"/>
      <sheetName val="OT"/>
      <sheetName val="AIU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Rec"/>
      <sheetName val="C_CTL"/>
      <sheetName val="TRACK"/>
      <sheetName val="HH_HM"/>
      <sheetName val="WKL"/>
      <sheetName val="Referencia Sistemas"/>
      <sheetName val="LISTA OTS"/>
      <sheetName val="EQUIPOS"/>
      <sheetName val="WRut"/>
      <sheetName val="TASA"/>
      <sheetName val="140 kbbld Cus,BCF22"/>
      <sheetName val="TABLAS (3)"/>
      <sheetName val="REG (2)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Siglas"/>
      <sheetName val="RESERVAS Y PRODUCCIONES"/>
      <sheetName val="C. IMPORTADAS"/>
      <sheetName val="TARIFAS 2015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2)"/>
      <sheetName val="A-RECURSOS-MATERIAL"/>
      <sheetName val="Par"/>
      <sheetName val="POZO 7959"/>
      <sheetName val="BasedeDatos"/>
      <sheetName val="cantidades sf-21"/>
      <sheetName val="informe avance campo"/>
      <sheetName val="Clúster"/>
      <sheetName val="trafos acad"/>
      <sheetName val="Parámetros Formato "/>
      <sheetName val="7422CW00"/>
      <sheetName val="D. ENTRADA"/>
      <sheetName val="FORMULA Marzo 07"/>
      <sheetName val="PRESUPUESTO 2O16"/>
      <sheetName val="GRAFICAS GEC"/>
      <sheetName val="Matriz RAM"/>
      <sheetName val="parametros de formato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SALARIOS"/>
      <sheetName val="Plan_Anual_Mantto"/>
      <sheetName val="Datos no borrar"/>
      <sheetName val="BasesdeDatos"/>
      <sheetName val="ARCADIS"/>
      <sheetName val="2016"/>
      <sheetName val="LISTA"/>
      <sheetName val="INSTRUCTIVO Para el Usuario"/>
      <sheetName val="Referencia_Sistemas"/>
      <sheetName val="BENEF__DE_ESPEC_"/>
      <sheetName val="Modelo financiero Alt 1"/>
      <sheetName val="Tabla datos formato"/>
      <sheetName val="Items"/>
      <sheetName val="List.Per"/>
      <sheetName val="DATOS GENERALES"/>
      <sheetName val="AFP"/>
      <sheetName val="EPS"/>
      <sheetName val="NOVEDAD"/>
      <sheetName val="SEXO"/>
      <sheetName val="TIPO DE DOCUMENTO"/>
      <sheetName val="TIPO DE COTIZANTE"/>
      <sheetName val="DATOS INFORME ECP"/>
      <sheetName val="DATOS INGRESO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CECOS"/>
      <sheetName val="OBRA_CIVIL_RQ_06"/>
      <sheetName val="CECOS_SOP"/>
      <sheetName val="Mano_de_Obra"/>
      <sheetName val="Sistemas"/>
      <sheetName val="B515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PRESUPUESTO anu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SALARIO LEGAL"/>
      <sheetName val="FACTURADO"/>
      <sheetName val="What If"/>
      <sheetName val="Titles"/>
      <sheetName val="Estruc_ICEL"/>
      <sheetName val="Hoja 1 "/>
      <sheetName val="Portada"/>
      <sheetName val="T.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>
        <row r="224">
          <cell r="B224" t="str">
            <v>MES No:</v>
          </cell>
        </row>
      </sheetData>
      <sheetData sheetId="212">
        <row r="224">
          <cell r="B224" t="str">
            <v>MES No:</v>
          </cell>
        </row>
      </sheetData>
      <sheetData sheetId="213">
        <row r="224">
          <cell r="B224" t="str">
            <v>MES No: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>
        <row r="224">
          <cell r="B224" t="str">
            <v>MES No:</v>
          </cell>
        </row>
      </sheetData>
      <sheetData sheetId="222" refreshError="1"/>
      <sheetData sheetId="223" refreshError="1"/>
      <sheetData sheetId="224" refreshError="1"/>
      <sheetData sheetId="225">
        <row r="224">
          <cell r="B224" t="str">
            <v>MES No:</v>
          </cell>
        </row>
      </sheetData>
      <sheetData sheetId="226">
        <row r="224">
          <cell r="B224" t="str">
            <v>MES No:</v>
          </cell>
        </row>
      </sheetData>
      <sheetData sheetId="227">
        <row r="224">
          <cell r="B224" t="str">
            <v>MES No:</v>
          </cell>
        </row>
      </sheetData>
      <sheetData sheetId="228">
        <row r="224">
          <cell r="B224" t="str">
            <v>MES No:</v>
          </cell>
        </row>
      </sheetData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>
        <row r="224">
          <cell r="B224" t="str">
            <v>MES No:</v>
          </cell>
        </row>
      </sheetData>
      <sheetData sheetId="257">
        <row r="224">
          <cell r="B224" t="str">
            <v>MES No:</v>
          </cell>
        </row>
      </sheetData>
      <sheetData sheetId="258">
        <row r="224">
          <cell r="B224" t="str">
            <v>MES No:</v>
          </cell>
        </row>
      </sheetData>
      <sheetData sheetId="259">
        <row r="224">
          <cell r="B224" t="str">
            <v>MES No:</v>
          </cell>
        </row>
      </sheetData>
      <sheetData sheetId="260">
        <row r="224">
          <cell r="B224" t="str">
            <v>MES No:</v>
          </cell>
        </row>
      </sheetData>
      <sheetData sheetId="261">
        <row r="224">
          <cell r="B224" t="str">
            <v>MES No:</v>
          </cell>
        </row>
      </sheetData>
      <sheetData sheetId="262">
        <row r="224">
          <cell r="B224" t="str">
            <v>MES No:</v>
          </cell>
        </row>
      </sheetData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>
        <row r="224">
          <cell r="B224" t="str">
            <v>MES No:</v>
          </cell>
        </row>
      </sheetData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>
        <row r="224">
          <cell r="B224" t="str">
            <v>MES No:</v>
          </cell>
        </row>
      </sheetData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/>
      <sheetData sheetId="516"/>
      <sheetData sheetId="517">
        <row r="109">
          <cell r="F109">
            <v>22713.357777694815</v>
          </cell>
        </row>
      </sheetData>
      <sheetData sheetId="518">
        <row r="109">
          <cell r="F109">
            <v>22713.357777694815</v>
          </cell>
        </row>
      </sheetData>
      <sheetData sheetId="519">
        <row r="109">
          <cell r="F109">
            <v>22713.357777694815</v>
          </cell>
        </row>
      </sheetData>
      <sheetData sheetId="520"/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>
        <row r="109">
          <cell r="F109">
            <v>22713.357777694815</v>
          </cell>
        </row>
      </sheetData>
      <sheetData sheetId="524"/>
      <sheetData sheetId="525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TABLA5"/>
      <sheetName val="Análisis_determinístico"/>
      <sheetName val="Modelo_financiero"/>
      <sheetName val="Análisis_determinístico1"/>
      <sheetName val="Modelo_financiero1"/>
      <sheetName val="PSM Monthly"/>
      <sheetName val="Hoja2"/>
      <sheetName val="1. MODELO 60KB"/>
      <sheetName val="BHA"/>
      <sheetName val="EMPRESA"/>
      <sheetName val="Tablas"/>
      <sheetName val="Tabla"/>
      <sheetName val="Cronograma"/>
      <sheetName val="Main"/>
      <sheetName val="CorpTax"/>
      <sheetName val="Input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INGENIERÍA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ROYECTOS TRÁNSITO"/>
      <sheetName val="PSM_Monthly"/>
      <sheetName val=""/>
      <sheetName val="Modelo_Financiero_Determ__"/>
      <sheetName val="Listas_Desplegables"/>
      <sheetName val="LISTA DE LAS MACROS "/>
      <sheetName val="LISTA_VALIDACION"/>
      <sheetName val="PLAN MENSUAL"/>
      <sheetName val="Modelo financiero-Alter_3"/>
      <sheetName val="Resultados"/>
      <sheetName val="Referencia Sistemas"/>
      <sheetName val="CECOS SOP"/>
      <sheetName val="SEGUIMIENTO"/>
      <sheetName val="Malas Prácticas eliminadas"/>
      <sheetName val="Plan Anual Mantto"/>
      <sheetName val="F.Caja"/>
      <sheetName val="General"/>
      <sheetName val="CONFIGURACION"/>
      <sheetName val="FORMULAS1"/>
      <sheetName val="Mano de Obr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OTS"/>
      <sheetName val="TABLAS (3)"/>
      <sheetName val="REG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EQUIPOS"/>
      <sheetName val="WRut"/>
      <sheetName val="140 kbbld Cus,BCF22"/>
      <sheetName val="Siglas"/>
      <sheetName val="Tablas (2)"/>
      <sheetName val="C_CTL"/>
      <sheetName val="TRACK"/>
      <sheetName val="HH_HM"/>
      <sheetName val="WKL"/>
      <sheetName val="BASE CG1"/>
      <sheetName val="Menu"/>
      <sheetName val="OT"/>
      <sheetName val="Pañete Impermeabilizado"/>
      <sheetName val="AIU"/>
      <sheetName val="OBRA CIVIL RQ 06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BENEF. DE ESPEC.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A-RECURSOS-MATERIAL"/>
      <sheetName val="Par"/>
      <sheetName val="POZO 7959"/>
      <sheetName val="RESERVAS Y PRODUCCIONES"/>
      <sheetName val="C. IMPORTADAS"/>
      <sheetName val="Cuentas"/>
      <sheetName val="Referencia_Sistemas"/>
      <sheetName val="BENEF__DE_ESPEC_"/>
      <sheetName val="PRESUPUESTO 2O16"/>
      <sheetName val="Plan_Anual_Mantto"/>
      <sheetName val="FORMULA Marzo 07"/>
      <sheetName val="cantidades sf-21"/>
      <sheetName val="informe avance campo"/>
      <sheetName val="Clúster"/>
      <sheetName val="trafos acad"/>
      <sheetName val="Parámetros Formato "/>
      <sheetName val="7422CW00"/>
      <sheetName val="MAMPO 1"/>
      <sheetName val="DATOSBP"/>
      <sheetName val="DATOSPB"/>
      <sheetName val="1.1"/>
      <sheetName val="EQUIPO"/>
      <sheetName val="TUBERIA"/>
      <sheetName val="MATERIALES"/>
      <sheetName val="GRAFICAS GEC"/>
      <sheetName val="Matriz RAM"/>
      <sheetName val="parametros de formato"/>
      <sheetName val="D. ENTRADA"/>
      <sheetName val="BASE CENIT"/>
      <sheetName val="LISTA"/>
      <sheetName val="TARIFAS2018"/>
      <sheetName val="Tabla datos forma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DATOS INFORME ECP"/>
      <sheetName val="DATOS INGRESO"/>
      <sheetName val="Sistemas"/>
      <sheetName val="B515"/>
      <sheetName val="Modelo_financiero5"/>
      <sheetName val="Parámetros_Formato3"/>
      <sheetName val="TBG_+_NO_TBG_20113"/>
      <sheetName val="Plan_Hitos_despues_del_pma3"/>
      <sheetName val="BasedeDatos"/>
      <sheetName val="CECOS"/>
      <sheetName val="BasesdeDatos"/>
      <sheetName val="Portada"/>
      <sheetName val="T.D."/>
      <sheetName val="3) Carteras"/>
      <sheetName val="OBRA_CIVIL_RQ_06"/>
      <sheetName val="CECOS_SOP"/>
      <sheetName val="Mano_de_Obra"/>
      <sheetName val="CRUDOS_MES_EVALUADO1"/>
      <sheetName val="COSTOS_DE_TRANSPORTE2"/>
      <sheetName val="Listas Formato CENIT"/>
      <sheetName val="4) Nivel de Riesgo"/>
      <sheetName val="Comite Gerencia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ARCADIS"/>
      <sheetName val="INSUMOS"/>
      <sheetName val="CÁLCULOS"/>
      <sheetName val="CLASES DE EDC AACEI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>
        <row r="224">
          <cell r="B224" t="str">
            <v>MES No:</v>
          </cell>
        </row>
      </sheetData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/>
      <sheetData sheetId="416">
        <row r="224">
          <cell r="B224" t="str">
            <v>MES No:</v>
          </cell>
        </row>
      </sheetData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>
        <row r="109">
          <cell r="F109">
            <v>22713.357777694815</v>
          </cell>
        </row>
      </sheetData>
      <sheetData sheetId="517"/>
      <sheetData sheetId="518"/>
      <sheetData sheetId="519"/>
      <sheetData sheetId="520">
        <row r="109">
          <cell r="F109">
            <v>22713.357777694815</v>
          </cell>
        </row>
      </sheetData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/>
      <sheetData sheetId="524">
        <row r="109">
          <cell r="F109">
            <v>22713.357777694815</v>
          </cell>
        </row>
      </sheetData>
      <sheetData sheetId="525">
        <row r="109">
          <cell r="F109">
            <v>22713.357777694815</v>
          </cell>
        </row>
      </sheetData>
      <sheetData sheetId="526">
        <row r="109">
          <cell r="F109">
            <v>22713.357777694815</v>
          </cell>
        </row>
      </sheetData>
      <sheetData sheetId="527"/>
      <sheetData sheetId="528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>
        <row r="48">
          <cell r="U48">
            <v>17</v>
          </cell>
        </row>
      </sheetData>
      <sheetData sheetId="1" refreshError="1">
        <row r="3">
          <cell r="M3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COSTOS UNITARIOS"/>
      <sheetName val="CA-2909"/>
      <sheetName val="Tablas"/>
      <sheetName val="TABLA5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T3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_A310"/>
      <sheetName val="A_G105"/>
      <sheetName val="A_G200"/>
      <sheetName val="PS P-514"/>
      <sheetName val="APU"/>
      <sheetName val="Base"/>
      <sheetName val="VPN- ECP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IDATA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Proforma Guia"/>
      <sheetName val="5094-2003"/>
      <sheetName val="COMPARATIVO"/>
      <sheetName val="2121"/>
      <sheetName val="CAS-INC"/>
      <sheetName val="COR-BAS"/>
      <sheetName val="EST-BAS"/>
      <sheetName val="GAR-BAS"/>
      <sheetName val="TABLAS"/>
      <sheetName val="Códigos Pacc"/>
      <sheetName val="API93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arámetros Formato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Maquinaria"/>
      <sheetName val="Materiales"/>
      <sheetName val="HISTORICO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</sheetNames>
    <sheetDataSet>
      <sheetData sheetId="0">
        <row r="21">
          <cell r="A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7">
          <cell r="D27">
            <v>0.95</v>
          </cell>
        </row>
      </sheetData>
      <sheetData sheetId="9" refreshError="1"/>
      <sheetData sheetId="10" refreshError="1"/>
      <sheetData sheetId="11">
        <row r="27">
          <cell r="D27">
            <v>0.95</v>
          </cell>
        </row>
      </sheetData>
      <sheetData sheetId="12">
        <row r="27">
          <cell r="D27">
            <v>0.95</v>
          </cell>
        </row>
      </sheetData>
      <sheetData sheetId="13">
        <row r="27">
          <cell r="D27">
            <v>0.95</v>
          </cell>
        </row>
      </sheetData>
      <sheetData sheetId="14">
        <row r="27">
          <cell r="D27">
            <v>0.95</v>
          </cell>
        </row>
      </sheetData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1">
          <cell r="D21">
            <v>2.0117792932424057</v>
          </cell>
        </row>
      </sheetData>
      <sheetData sheetId="31">
        <row r="21">
          <cell r="D21">
            <v>2.0117792932424057</v>
          </cell>
        </row>
      </sheetData>
      <sheetData sheetId="32">
        <row r="21">
          <cell r="A21">
            <v>0</v>
          </cell>
        </row>
      </sheetData>
      <sheetData sheetId="33">
        <row r="21">
          <cell r="D21">
            <v>2.0117792932424057</v>
          </cell>
        </row>
      </sheetData>
      <sheetData sheetId="34">
        <row r="21">
          <cell r="D21">
            <v>2.0117792932424057</v>
          </cell>
        </row>
      </sheetData>
      <sheetData sheetId="35">
        <row r="21">
          <cell r="A21">
            <v>0</v>
          </cell>
        </row>
      </sheetData>
      <sheetData sheetId="36">
        <row r="21">
          <cell r="D21">
            <v>2.0117792932424057</v>
          </cell>
        </row>
      </sheetData>
      <sheetData sheetId="37">
        <row r="21">
          <cell r="D21">
            <v>2.0117792932424057</v>
          </cell>
        </row>
      </sheetData>
      <sheetData sheetId="38">
        <row r="21">
          <cell r="A21">
            <v>0</v>
          </cell>
        </row>
      </sheetData>
      <sheetData sheetId="39">
        <row r="21">
          <cell r="A21">
            <v>0</v>
          </cell>
        </row>
      </sheetData>
      <sheetData sheetId="40">
        <row r="21">
          <cell r="D21">
            <v>2.0117792932424057</v>
          </cell>
        </row>
      </sheetData>
      <sheetData sheetId="41">
        <row r="21">
          <cell r="A21">
            <v>0</v>
          </cell>
        </row>
      </sheetData>
      <sheetData sheetId="42">
        <row r="21">
          <cell r="A21">
            <v>0</v>
          </cell>
        </row>
      </sheetData>
      <sheetData sheetId="43">
        <row r="27">
          <cell r="D27">
            <v>0.95</v>
          </cell>
        </row>
      </sheetData>
      <sheetData sheetId="44">
        <row r="21">
          <cell r="A21">
            <v>0</v>
          </cell>
        </row>
      </sheetData>
      <sheetData sheetId="45">
        <row r="21">
          <cell r="A21">
            <v>0</v>
          </cell>
        </row>
      </sheetData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>
        <row r="21">
          <cell r="A21">
            <v>0</v>
          </cell>
        </row>
      </sheetData>
      <sheetData sheetId="106">
        <row r="21">
          <cell r="A21">
            <v>0</v>
          </cell>
        </row>
      </sheetData>
      <sheetData sheetId="107">
        <row r="21">
          <cell r="A21">
            <v>0</v>
          </cell>
        </row>
      </sheetData>
      <sheetData sheetId="108">
        <row r="21">
          <cell r="A21">
            <v>0</v>
          </cell>
        </row>
      </sheetData>
      <sheetData sheetId="109">
        <row r="21">
          <cell r="A21">
            <v>0</v>
          </cell>
        </row>
      </sheetData>
      <sheetData sheetId="110">
        <row r="21">
          <cell r="A21">
            <v>0</v>
          </cell>
        </row>
      </sheetData>
      <sheetData sheetId="111">
        <row r="21">
          <cell r="A21">
            <v>0</v>
          </cell>
        </row>
      </sheetData>
      <sheetData sheetId="112">
        <row r="21">
          <cell r="A21">
            <v>0</v>
          </cell>
        </row>
      </sheetData>
      <sheetData sheetId="113">
        <row r="21">
          <cell r="A21">
            <v>0</v>
          </cell>
        </row>
      </sheetData>
      <sheetData sheetId="114">
        <row r="21">
          <cell r="A21">
            <v>0</v>
          </cell>
        </row>
      </sheetData>
      <sheetData sheetId="115">
        <row r="21">
          <cell r="A21">
            <v>0</v>
          </cell>
        </row>
      </sheetData>
      <sheetData sheetId="116">
        <row r="21">
          <cell r="A21">
            <v>0</v>
          </cell>
        </row>
      </sheetData>
      <sheetData sheetId="117">
        <row r="21">
          <cell r="A21">
            <v>0</v>
          </cell>
        </row>
      </sheetData>
      <sheetData sheetId="118">
        <row r="21">
          <cell r="A21">
            <v>0</v>
          </cell>
        </row>
      </sheetData>
      <sheetData sheetId="119">
        <row r="21">
          <cell r="A21">
            <v>0</v>
          </cell>
        </row>
      </sheetData>
      <sheetData sheetId="120">
        <row r="21">
          <cell r="A21">
            <v>0</v>
          </cell>
        </row>
      </sheetData>
      <sheetData sheetId="121">
        <row r="21">
          <cell r="A21">
            <v>0</v>
          </cell>
        </row>
      </sheetData>
      <sheetData sheetId="122">
        <row r="21">
          <cell r="A21">
            <v>0</v>
          </cell>
        </row>
      </sheetData>
      <sheetData sheetId="123">
        <row r="21">
          <cell r="A21">
            <v>0</v>
          </cell>
        </row>
      </sheetData>
      <sheetData sheetId="124">
        <row r="21">
          <cell r="A21">
            <v>0</v>
          </cell>
        </row>
      </sheetData>
      <sheetData sheetId="125">
        <row r="21">
          <cell r="A21">
            <v>0</v>
          </cell>
        </row>
      </sheetData>
      <sheetData sheetId="126">
        <row r="21">
          <cell r="A21">
            <v>0</v>
          </cell>
        </row>
      </sheetData>
      <sheetData sheetId="127"/>
      <sheetData sheetId="128">
        <row r="21">
          <cell r="A21">
            <v>0</v>
          </cell>
        </row>
      </sheetData>
      <sheetData sheetId="129">
        <row r="21">
          <cell r="A21">
            <v>0</v>
          </cell>
        </row>
      </sheetData>
      <sheetData sheetId="130">
        <row r="21">
          <cell r="A21">
            <v>0</v>
          </cell>
        </row>
      </sheetData>
      <sheetData sheetId="131">
        <row r="21">
          <cell r="A21">
            <v>0</v>
          </cell>
        </row>
      </sheetData>
      <sheetData sheetId="132">
        <row r="21">
          <cell r="A21">
            <v>0</v>
          </cell>
        </row>
      </sheetData>
      <sheetData sheetId="133">
        <row r="21">
          <cell r="A21">
            <v>0</v>
          </cell>
        </row>
      </sheetData>
      <sheetData sheetId="134">
        <row r="21">
          <cell r="A21">
            <v>0</v>
          </cell>
        </row>
      </sheetData>
      <sheetData sheetId="135">
        <row r="21">
          <cell r="A21">
            <v>0</v>
          </cell>
        </row>
      </sheetData>
      <sheetData sheetId="136">
        <row r="21">
          <cell r="A21">
            <v>0</v>
          </cell>
        </row>
      </sheetData>
      <sheetData sheetId="137">
        <row r="21">
          <cell r="A21">
            <v>0</v>
          </cell>
        </row>
      </sheetData>
      <sheetData sheetId="138">
        <row r="21">
          <cell r="A21">
            <v>0</v>
          </cell>
        </row>
      </sheetData>
      <sheetData sheetId="139">
        <row r="21">
          <cell r="A21">
            <v>0</v>
          </cell>
        </row>
      </sheetData>
      <sheetData sheetId="140">
        <row r="21">
          <cell r="A21">
            <v>0</v>
          </cell>
        </row>
      </sheetData>
      <sheetData sheetId="141">
        <row r="21">
          <cell r="A21">
            <v>0</v>
          </cell>
        </row>
      </sheetData>
      <sheetData sheetId="142">
        <row r="21">
          <cell r="A21">
            <v>0</v>
          </cell>
        </row>
      </sheetData>
      <sheetData sheetId="143">
        <row r="21">
          <cell r="A21">
            <v>0</v>
          </cell>
        </row>
      </sheetData>
      <sheetData sheetId="144">
        <row r="21">
          <cell r="A21">
            <v>0</v>
          </cell>
        </row>
      </sheetData>
      <sheetData sheetId="145">
        <row r="21">
          <cell r="A21">
            <v>0</v>
          </cell>
        </row>
      </sheetData>
      <sheetData sheetId="146">
        <row r="21">
          <cell r="A21">
            <v>0</v>
          </cell>
        </row>
      </sheetData>
      <sheetData sheetId="147">
        <row r="21">
          <cell r="A21">
            <v>0</v>
          </cell>
        </row>
      </sheetData>
      <sheetData sheetId="148">
        <row r="21">
          <cell r="A21">
            <v>0</v>
          </cell>
        </row>
      </sheetData>
      <sheetData sheetId="149">
        <row r="21">
          <cell r="A21">
            <v>0</v>
          </cell>
        </row>
      </sheetData>
      <sheetData sheetId="150">
        <row r="21">
          <cell r="A21">
            <v>0</v>
          </cell>
        </row>
      </sheetData>
      <sheetData sheetId="151">
        <row r="21">
          <cell r="A21">
            <v>0</v>
          </cell>
        </row>
      </sheetData>
      <sheetData sheetId="152">
        <row r="21">
          <cell r="A21">
            <v>0</v>
          </cell>
        </row>
      </sheetData>
      <sheetData sheetId="153">
        <row r="21">
          <cell r="A21">
            <v>0</v>
          </cell>
        </row>
      </sheetData>
      <sheetData sheetId="154">
        <row r="21">
          <cell r="A21">
            <v>0</v>
          </cell>
        </row>
      </sheetData>
      <sheetData sheetId="155">
        <row r="21">
          <cell r="A21">
            <v>0</v>
          </cell>
        </row>
      </sheetData>
      <sheetData sheetId="156">
        <row r="21">
          <cell r="A21">
            <v>0</v>
          </cell>
        </row>
      </sheetData>
      <sheetData sheetId="157">
        <row r="21">
          <cell r="A21">
            <v>0</v>
          </cell>
        </row>
      </sheetData>
      <sheetData sheetId="158">
        <row r="21">
          <cell r="A21">
            <v>0</v>
          </cell>
        </row>
      </sheetData>
      <sheetData sheetId="159">
        <row r="21">
          <cell r="A21">
            <v>0</v>
          </cell>
        </row>
      </sheetData>
      <sheetData sheetId="160">
        <row r="21">
          <cell r="A21">
            <v>0</v>
          </cell>
        </row>
      </sheetData>
      <sheetData sheetId="161">
        <row r="21">
          <cell r="A21">
            <v>0</v>
          </cell>
        </row>
      </sheetData>
      <sheetData sheetId="162">
        <row r="21">
          <cell r="A21">
            <v>0</v>
          </cell>
        </row>
      </sheetData>
      <sheetData sheetId="163">
        <row r="21">
          <cell r="A21">
            <v>0</v>
          </cell>
        </row>
      </sheetData>
      <sheetData sheetId="164">
        <row r="21">
          <cell r="A21">
            <v>0</v>
          </cell>
        </row>
      </sheetData>
      <sheetData sheetId="165">
        <row r="21">
          <cell r="A21">
            <v>0</v>
          </cell>
        </row>
      </sheetData>
      <sheetData sheetId="166">
        <row r="21">
          <cell r="A21">
            <v>0</v>
          </cell>
        </row>
      </sheetData>
      <sheetData sheetId="167">
        <row r="21">
          <cell r="A21">
            <v>0</v>
          </cell>
        </row>
      </sheetData>
      <sheetData sheetId="168">
        <row r="21">
          <cell r="A21">
            <v>0</v>
          </cell>
        </row>
      </sheetData>
      <sheetData sheetId="169">
        <row r="21">
          <cell r="A21">
            <v>0</v>
          </cell>
        </row>
      </sheetData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>
        <row r="21">
          <cell r="A21">
            <v>0</v>
          </cell>
        </row>
      </sheetData>
      <sheetData sheetId="176">
        <row r="21">
          <cell r="A21">
            <v>0</v>
          </cell>
        </row>
      </sheetData>
      <sheetData sheetId="177">
        <row r="21">
          <cell r="A21">
            <v>0</v>
          </cell>
        </row>
      </sheetData>
      <sheetData sheetId="178">
        <row r="21">
          <cell r="A21">
            <v>0</v>
          </cell>
        </row>
      </sheetData>
      <sheetData sheetId="179">
        <row r="21">
          <cell r="A21">
            <v>0</v>
          </cell>
        </row>
      </sheetData>
      <sheetData sheetId="180">
        <row r="21">
          <cell r="A21">
            <v>0</v>
          </cell>
        </row>
      </sheetData>
      <sheetData sheetId="181">
        <row r="21">
          <cell r="A21">
            <v>0</v>
          </cell>
        </row>
      </sheetData>
      <sheetData sheetId="182">
        <row r="21">
          <cell r="A21">
            <v>0</v>
          </cell>
        </row>
      </sheetData>
      <sheetData sheetId="183">
        <row r="21">
          <cell r="A21">
            <v>0</v>
          </cell>
        </row>
      </sheetData>
      <sheetData sheetId="184">
        <row r="21">
          <cell r="A21">
            <v>0</v>
          </cell>
        </row>
      </sheetData>
      <sheetData sheetId="185">
        <row r="21">
          <cell r="A21">
            <v>0</v>
          </cell>
        </row>
      </sheetData>
      <sheetData sheetId="186">
        <row r="21">
          <cell r="A21">
            <v>0</v>
          </cell>
        </row>
      </sheetData>
      <sheetData sheetId="187">
        <row r="21">
          <cell r="A21">
            <v>0</v>
          </cell>
        </row>
      </sheetData>
      <sheetData sheetId="188">
        <row r="21">
          <cell r="A21">
            <v>0</v>
          </cell>
        </row>
      </sheetData>
      <sheetData sheetId="189">
        <row r="21">
          <cell r="A21">
            <v>0</v>
          </cell>
        </row>
      </sheetData>
      <sheetData sheetId="190">
        <row r="21">
          <cell r="A21">
            <v>0</v>
          </cell>
        </row>
      </sheetData>
      <sheetData sheetId="191">
        <row r="21">
          <cell r="A21">
            <v>0</v>
          </cell>
        </row>
      </sheetData>
      <sheetData sheetId="192">
        <row r="21">
          <cell r="A21">
            <v>0</v>
          </cell>
        </row>
      </sheetData>
      <sheetData sheetId="193">
        <row r="21">
          <cell r="A21">
            <v>0</v>
          </cell>
        </row>
      </sheetData>
      <sheetData sheetId="194">
        <row r="21">
          <cell r="A21">
            <v>0</v>
          </cell>
        </row>
      </sheetData>
      <sheetData sheetId="195">
        <row r="21">
          <cell r="A21">
            <v>0</v>
          </cell>
        </row>
      </sheetData>
      <sheetData sheetId="196">
        <row r="21">
          <cell r="A21">
            <v>0</v>
          </cell>
        </row>
      </sheetData>
      <sheetData sheetId="197">
        <row r="21">
          <cell r="A21">
            <v>0</v>
          </cell>
        </row>
      </sheetData>
      <sheetData sheetId="198">
        <row r="21">
          <cell r="A21">
            <v>0</v>
          </cell>
        </row>
      </sheetData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>
        <row r="21">
          <cell r="A21">
            <v>0</v>
          </cell>
        </row>
      </sheetData>
      <sheetData sheetId="207" refreshError="1"/>
      <sheetData sheetId="208" refreshError="1"/>
      <sheetData sheetId="209">
        <row r="21">
          <cell r="A21">
            <v>0</v>
          </cell>
        </row>
      </sheetData>
      <sheetData sheetId="210">
        <row r="27">
          <cell r="D27">
            <v>0.95</v>
          </cell>
        </row>
      </sheetData>
      <sheetData sheetId="211">
        <row r="27">
          <cell r="D27">
            <v>0.95</v>
          </cell>
        </row>
      </sheetData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>
        <row r="21">
          <cell r="A21">
            <v>0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/>
      <sheetData sheetId="256"/>
      <sheetData sheetId="257"/>
      <sheetData sheetId="258">
        <row r="21">
          <cell r="A21">
            <v>0</v>
          </cell>
        </row>
      </sheetData>
      <sheetData sheetId="259"/>
      <sheetData sheetId="260"/>
      <sheetData sheetId="261"/>
      <sheetData sheetId="262"/>
      <sheetData sheetId="263"/>
      <sheetData sheetId="264"/>
      <sheetData sheetId="265">
        <row r="21">
          <cell r="A21">
            <v>0</v>
          </cell>
        </row>
      </sheetData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</sheetNames>
    <sheetDataSet>
      <sheetData sheetId="0" refreshError="1"/>
      <sheetData sheetId="1" refreshError="1"/>
      <sheetData sheetId="2" refreshError="1"/>
      <sheetData sheetId="3" refreshError="1">
        <row r="37">
          <cell r="D37">
            <v>2005</v>
          </cell>
          <cell r="E37">
            <v>2006</v>
          </cell>
          <cell r="F37">
            <v>2007</v>
          </cell>
          <cell r="G37">
            <v>2008</v>
          </cell>
          <cell r="H37">
            <v>2009</v>
          </cell>
          <cell r="I37">
            <v>2010</v>
          </cell>
          <cell r="J37">
            <v>2011</v>
          </cell>
          <cell r="K37">
            <v>2012</v>
          </cell>
          <cell r="L37">
            <v>2013</v>
          </cell>
          <cell r="M37">
            <v>2014</v>
          </cell>
          <cell r="N37">
            <v>2015</v>
          </cell>
          <cell r="O37">
            <v>2016</v>
          </cell>
          <cell r="P37">
            <v>2017</v>
          </cell>
          <cell r="Q37">
            <v>2018</v>
          </cell>
          <cell r="R37">
            <v>2019</v>
          </cell>
          <cell r="S37">
            <v>2020</v>
          </cell>
        </row>
        <row r="39">
          <cell r="C39" t="str">
            <v>RFG</v>
          </cell>
          <cell r="D39">
            <v>13281.477636640788</v>
          </cell>
          <cell r="E39">
            <v>12689.647867982125</v>
          </cell>
          <cell r="F39">
            <v>12097.818099323464</v>
          </cell>
        </row>
        <row r="40">
          <cell r="C40" t="str">
            <v>LS 2</v>
          </cell>
          <cell r="D40">
            <v>0</v>
          </cell>
          <cell r="E40">
            <v>0</v>
          </cell>
          <cell r="F4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>
        <row r="37">
          <cell r="D37">
            <v>2005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>
        <row r="37">
          <cell r="D37">
            <v>2005</v>
          </cell>
        </row>
      </sheetData>
      <sheetData sheetId="59">
        <row r="37">
          <cell r="D37">
            <v>2005</v>
          </cell>
        </row>
      </sheetData>
      <sheetData sheetId="60">
        <row r="37">
          <cell r="D37">
            <v>2005</v>
          </cell>
        </row>
      </sheetData>
      <sheetData sheetId="61">
        <row r="37">
          <cell r="D37">
            <v>2005</v>
          </cell>
        </row>
      </sheetData>
      <sheetData sheetId="62">
        <row r="37">
          <cell r="D37">
            <v>2005</v>
          </cell>
        </row>
      </sheetData>
      <sheetData sheetId="63">
        <row r="37">
          <cell r="D37">
            <v>2005</v>
          </cell>
        </row>
      </sheetData>
      <sheetData sheetId="64">
        <row r="37">
          <cell r="D37">
            <v>2005</v>
          </cell>
        </row>
      </sheetData>
      <sheetData sheetId="65">
        <row r="37">
          <cell r="D37">
            <v>2005</v>
          </cell>
        </row>
      </sheetData>
      <sheetData sheetId="66">
        <row r="37">
          <cell r="D37">
            <v>2005</v>
          </cell>
        </row>
      </sheetData>
      <sheetData sheetId="67">
        <row r="37">
          <cell r="D37">
            <v>2005</v>
          </cell>
        </row>
      </sheetData>
      <sheetData sheetId="68">
        <row r="37">
          <cell r="D37">
            <v>2005</v>
          </cell>
        </row>
      </sheetData>
      <sheetData sheetId="69">
        <row r="37">
          <cell r="D37">
            <v>2005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>
        <row r="37">
          <cell r="D37">
            <v>2005</v>
          </cell>
        </row>
      </sheetData>
      <sheetData sheetId="75">
        <row r="37">
          <cell r="D37">
            <v>2005</v>
          </cell>
        </row>
      </sheetData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Parametros Inversion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rudosA"/>
      <sheetName val="casosWTI"/>
      <sheetName val="#¡REF"/>
      <sheetName val="PYF100-2"/>
      <sheetName val="APU"/>
      <sheetName val="Parámetros Formato"/>
      <sheetName val="LISTA VALIDACION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BHA"/>
      <sheetName val="TABLA5"/>
      <sheetName val="DCurva"/>
      <sheetName val="Inf.Semanal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LISTAS"/>
      <sheetName val="CAÑO_LIMON2"/>
      <sheetName val="VENTAS"/>
      <sheetName val="CRUDOS MES EVALUADO"/>
      <sheetName val="COSTOS DE TRANSPORTE"/>
      <sheetName val="COMPRA MATERIA PRIMA"/>
      <sheetName val="TRANSFERENCIAS"/>
      <sheetName val="DATOS BASE ABA"/>
      <sheetName val="Admin Cost Flow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Listas Desplegable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arametros"/>
      <sheetName val="PLAN_CARGUE_RIS_(for_nuevo)2"/>
      <sheetName val="TOTAL AREA_PORTAFOLIO ORIGINAL"/>
      <sheetName val="Valor Oferta"/>
      <sheetName val="COMPROMISOS"/>
      <sheetName val="INGENIERÍA"/>
      <sheetName val="Cover"/>
      <sheetName val="TARIF200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EMPRESA"/>
      <sheetName val="Cronograma"/>
      <sheetName val="DATABASE"/>
      <sheetName val="PROYECTOS TRÁNSITO"/>
      <sheetName val="Malas Prácticas eliminadas"/>
      <sheetName val="Plan Anual Mantto"/>
      <sheetName val="PLAN MENSUAL"/>
      <sheetName val="Modelo financiero-Alter_3"/>
      <sheetName val="F.Caja"/>
      <sheetName val="General"/>
      <sheetName val="DATOSINI"/>
      <sheetName val="LISTA DE LAS MACROS 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BENEF. DE ESPEC.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A-RECURSOS-MATERIAL"/>
      <sheetName val="Par"/>
      <sheetName val="Siglas"/>
      <sheetName val="FORMULA Marzo 07"/>
      <sheetName val="TASA"/>
      <sheetName val="CECOS SOP"/>
      <sheetName val=""/>
      <sheetName val="Listas_Desplegables"/>
      <sheetName val="FORMULAS1"/>
      <sheetName val="SEGUIMIENTO"/>
      <sheetName val="C. IMPORTADAS"/>
      <sheetName val="CANTIDADES TOTALES"/>
      <sheetName val="SABAN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antidades sf-21"/>
      <sheetName val="informe avance campo"/>
      <sheetName val="Clúster"/>
      <sheetName val="trafos acad"/>
      <sheetName val="Mano de Obra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TARIFAS 2015"/>
      <sheetName val="1.1"/>
      <sheetName val="EQUIPO"/>
      <sheetName val="TUBERIA"/>
      <sheetName val="MATERIALES"/>
      <sheetName val="Hoja4"/>
      <sheetName val="BASE CENIT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arámetros_Formato3"/>
      <sheetName val="Modelo_financiero5"/>
      <sheetName val="CRUDOS_MES_EVALUADO1"/>
      <sheetName val="COSTOS_DE_TRANSPORTE2"/>
      <sheetName val="TBG_+_NO_TBG_20113"/>
      <sheetName val="Plan_Hitos_despues_del_pma3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 refreshError="1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>
        <row r="224">
          <cell r="B224" t="str">
            <v>MES No:</v>
          </cell>
        </row>
      </sheetData>
      <sheetData sheetId="447">
        <row r="224">
          <cell r="B224" t="str">
            <v>MES No:</v>
          </cell>
        </row>
      </sheetData>
      <sheetData sheetId="448">
        <row r="224">
          <cell r="B224" t="str">
            <v>MES No:</v>
          </cell>
        </row>
      </sheetData>
      <sheetData sheetId="449">
        <row r="224">
          <cell r="B224" t="str">
            <v>MES No:</v>
          </cell>
        </row>
      </sheetData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>
        <row r="109">
          <cell r="F109">
            <v>22713.357777694815</v>
          </cell>
        </row>
      </sheetData>
      <sheetData sheetId="498"/>
      <sheetData sheetId="499">
        <row r="109">
          <cell r="F109">
            <v>22713.357777694815</v>
          </cell>
        </row>
      </sheetData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/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Lista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LTIFMANT"/>
      <sheetName val="EPP-EX-DOT"/>
      <sheetName val="CUADRO SALARIOS"/>
      <sheetName val="TABLA RESUMEN"/>
      <sheetName val="tuberia"/>
      <sheetName val="C-3"/>
      <sheetName val="TRACK"/>
      <sheetName val="INSUM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>
        <row r="224">
          <cell r="B224" t="str">
            <v>MES No:</v>
          </cell>
        </row>
      </sheetData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>
        <row r="224">
          <cell r="B224" t="str">
            <v>MES No:</v>
          </cell>
        </row>
      </sheetData>
      <sheetData sheetId="247">
        <row r="224">
          <cell r="B224" t="str">
            <v>MES No:</v>
          </cell>
        </row>
      </sheetData>
      <sheetData sheetId="248">
        <row r="224">
          <cell r="B224" t="str">
            <v>MES No:</v>
          </cell>
        </row>
      </sheetData>
      <sheetData sheetId="249">
        <row r="224">
          <cell r="B224" t="str">
            <v>MES No:</v>
          </cell>
        </row>
      </sheetData>
      <sheetData sheetId="250">
        <row r="224">
          <cell r="B224" t="str">
            <v>MES No:</v>
          </cell>
        </row>
      </sheetData>
      <sheetData sheetId="251">
        <row r="224">
          <cell r="B224" t="str">
            <v>MES No:</v>
          </cell>
        </row>
      </sheetData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>
        <row r="224">
          <cell r="B224" t="str">
            <v>MES No:</v>
          </cell>
        </row>
      </sheetData>
      <sheetData sheetId="285">
        <row r="224">
          <cell r="B224" t="str">
            <v>MES No:</v>
          </cell>
        </row>
      </sheetData>
      <sheetData sheetId="286">
        <row r="224">
          <cell r="B224" t="str">
            <v>MES No:</v>
          </cell>
        </row>
      </sheetData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>
        <row r="224">
          <cell r="B224" t="str">
            <v>MES No:</v>
          </cell>
        </row>
      </sheetData>
      <sheetData sheetId="293">
        <row r="224">
          <cell r="B224" t="str">
            <v>MES No:</v>
          </cell>
        </row>
      </sheetData>
      <sheetData sheetId="294">
        <row r="224">
          <cell r="B224" t="str">
            <v>MES No:</v>
          </cell>
        </row>
      </sheetData>
      <sheetData sheetId="295">
        <row r="224">
          <cell r="B224" t="str">
            <v>MES No:</v>
          </cell>
        </row>
      </sheetData>
      <sheetData sheetId="296">
        <row r="224">
          <cell r="B224" t="str">
            <v>MES No:</v>
          </cell>
        </row>
      </sheetData>
      <sheetData sheetId="297">
        <row r="224">
          <cell r="B224" t="str">
            <v>MES No:</v>
          </cell>
        </row>
      </sheetData>
      <sheetData sheetId="298">
        <row r="224">
          <cell r="B224" t="str">
            <v>MES No:</v>
          </cell>
        </row>
      </sheetData>
      <sheetData sheetId="299">
        <row r="224">
          <cell r="B224" t="str">
            <v>MES No:</v>
          </cell>
        </row>
      </sheetData>
      <sheetData sheetId="300">
        <row r="224">
          <cell r="B224" t="str">
            <v>MES No:</v>
          </cell>
        </row>
      </sheetData>
      <sheetData sheetId="301">
        <row r="224">
          <cell r="B224" t="str">
            <v>MES No:</v>
          </cell>
        </row>
      </sheetData>
      <sheetData sheetId="302">
        <row r="224">
          <cell r="B224" t="str">
            <v>MES No:</v>
          </cell>
        </row>
      </sheetData>
      <sheetData sheetId="303">
        <row r="224">
          <cell r="B224" t="str">
            <v>MES No:</v>
          </cell>
        </row>
      </sheetData>
      <sheetData sheetId="304">
        <row r="224">
          <cell r="B224" t="str">
            <v>MES No:</v>
          </cell>
        </row>
      </sheetData>
      <sheetData sheetId="305">
        <row r="224">
          <cell r="B224" t="str">
            <v>MES No:</v>
          </cell>
        </row>
      </sheetData>
      <sheetData sheetId="306">
        <row r="224">
          <cell r="B224" t="str">
            <v>MES No:</v>
          </cell>
        </row>
      </sheetData>
      <sheetData sheetId="307">
        <row r="224">
          <cell r="B224" t="str">
            <v>MES No:</v>
          </cell>
        </row>
      </sheetData>
      <sheetData sheetId="308">
        <row r="224">
          <cell r="B224" t="str">
            <v>MES No:</v>
          </cell>
        </row>
      </sheetData>
      <sheetData sheetId="309">
        <row r="224">
          <cell r="B224" t="str">
            <v>MES No:</v>
          </cell>
        </row>
      </sheetData>
      <sheetData sheetId="310">
        <row r="224">
          <cell r="B224" t="str">
            <v>MES No:</v>
          </cell>
        </row>
      </sheetData>
      <sheetData sheetId="311">
        <row r="224">
          <cell r="B224" t="str">
            <v>MES No:</v>
          </cell>
        </row>
      </sheetData>
      <sheetData sheetId="312">
        <row r="224">
          <cell r="B224" t="str">
            <v>MES No:</v>
          </cell>
        </row>
      </sheetData>
      <sheetData sheetId="313">
        <row r="224">
          <cell r="B224" t="str">
            <v>MES No:</v>
          </cell>
        </row>
      </sheetData>
      <sheetData sheetId="314">
        <row r="224">
          <cell r="B224" t="str">
            <v>MES No:</v>
          </cell>
        </row>
      </sheetData>
      <sheetData sheetId="315">
        <row r="224">
          <cell r="B224" t="str">
            <v>MES No:</v>
          </cell>
        </row>
      </sheetData>
      <sheetData sheetId="316">
        <row r="224">
          <cell r="B224" t="str">
            <v>MES No:</v>
          </cell>
        </row>
      </sheetData>
      <sheetData sheetId="317">
        <row r="224">
          <cell r="B224" t="str">
            <v>MES No: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>
        <row r="109">
          <cell r="F109">
            <v>22713.357777694815</v>
          </cell>
        </row>
      </sheetData>
      <sheetData sheetId="504"/>
      <sheetData sheetId="505"/>
      <sheetData sheetId="506"/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/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view="pageBreakPreview" zoomScale="90" zoomScaleNormal="75" zoomScaleSheetLayoutView="90" zoomScalePageLayoutView="80" workbookViewId="0">
      <selection activeCell="B11" sqref="B11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33</v>
      </c>
      <c r="B3" s="47"/>
    </row>
    <row r="4" spans="1:2" ht="15.6" x14ac:dyDescent="0.25">
      <c r="A4" s="1"/>
      <c r="B4" s="2"/>
    </row>
    <row r="5" spans="1:2" ht="15.6" x14ac:dyDescent="0.25">
      <c r="A5" s="1" t="s">
        <v>1</v>
      </c>
      <c r="B5" s="45"/>
    </row>
    <row r="6" spans="1:2" ht="15.6" x14ac:dyDescent="0.25">
      <c r="A6" s="1"/>
      <c r="B6" s="2"/>
    </row>
    <row r="7" spans="1:2" ht="15.6" x14ac:dyDescent="0.25">
      <c r="A7" s="1" t="s">
        <v>34</v>
      </c>
      <c r="B7" s="45"/>
    </row>
    <row r="8" spans="1:2" ht="15.6" x14ac:dyDescent="0.25">
      <c r="A8" s="1"/>
      <c r="B8" s="2"/>
    </row>
    <row r="9" spans="1:2" ht="15.6" x14ac:dyDescent="0.25">
      <c r="A9" s="1" t="s">
        <v>35</v>
      </c>
      <c r="B9" s="45"/>
    </row>
    <row r="10" spans="1:2" ht="15.6" x14ac:dyDescent="0.25">
      <c r="A10" s="1"/>
      <c r="B10" s="2"/>
    </row>
    <row r="11" spans="1:2" ht="15.6" x14ac:dyDescent="0.25">
      <c r="A11" s="1" t="s">
        <v>59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67</v>
      </c>
      <c r="B13" s="45" t="s">
        <v>114</v>
      </c>
    </row>
    <row r="14" spans="1:2" ht="15.6" x14ac:dyDescent="0.25">
      <c r="A14" s="1"/>
      <c r="B14" s="2"/>
    </row>
    <row r="15" spans="1:2" ht="15.6" x14ac:dyDescent="0.25">
      <c r="A15" s="1" t="s">
        <v>68</v>
      </c>
      <c r="B15" s="47" t="s">
        <v>114</v>
      </c>
    </row>
    <row r="16" spans="1:2" ht="15.6" x14ac:dyDescent="0.25">
      <c r="A16" s="1"/>
      <c r="B16" s="2"/>
    </row>
    <row r="17" spans="1:2" ht="15.6" x14ac:dyDescent="0.25">
      <c r="A17" s="1" t="s">
        <v>36</v>
      </c>
      <c r="B17" s="47"/>
    </row>
    <row r="18" spans="1:2" ht="15.6" x14ac:dyDescent="0.25">
      <c r="A18" s="1"/>
      <c r="B18" s="2"/>
    </row>
    <row r="19" spans="1:2" ht="15.6" x14ac:dyDescent="0.25">
      <c r="A19" s="1" t="s">
        <v>37</v>
      </c>
      <c r="B19" s="45"/>
    </row>
    <row r="20" spans="1:2" ht="15.6" x14ac:dyDescent="0.25">
      <c r="A20" s="1"/>
      <c r="B20" s="2"/>
    </row>
    <row r="21" spans="1:2" ht="15.6" x14ac:dyDescent="0.25">
      <c r="A21" s="1" t="s">
        <v>57</v>
      </c>
      <c r="B21" s="45"/>
    </row>
    <row r="22" spans="1:2" ht="15.6" x14ac:dyDescent="0.25">
      <c r="A22" s="1"/>
      <c r="B22" s="2"/>
    </row>
    <row r="23" spans="1:2" ht="15.6" x14ac:dyDescent="0.25">
      <c r="A23" s="1" t="s">
        <v>58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60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38</v>
      </c>
      <c r="B27" s="121"/>
    </row>
    <row r="28" spans="1:2" ht="15.6" x14ac:dyDescent="0.25">
      <c r="A28" s="1"/>
      <c r="B28" s="2"/>
    </row>
    <row r="29" spans="1:2" ht="15.6" x14ac:dyDescent="0.25">
      <c r="A29" s="1" t="s">
        <v>69</v>
      </c>
      <c r="B29" s="50"/>
    </row>
    <row r="30" spans="1:2" ht="15.6" x14ac:dyDescent="0.25">
      <c r="A30" s="1"/>
      <c r="B30" s="2"/>
    </row>
    <row r="31" spans="1:2" ht="15.6" x14ac:dyDescent="0.25">
      <c r="A31" s="1" t="s">
        <v>39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40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61</v>
      </c>
      <c r="B36" s="47" t="s">
        <v>114</v>
      </c>
    </row>
    <row r="37" spans="1:2" ht="15.6" x14ac:dyDescent="0.25">
      <c r="A37" s="1"/>
      <c r="B37" s="2"/>
    </row>
    <row r="38" spans="1:2" ht="15.6" x14ac:dyDescent="0.25">
      <c r="A38" s="1" t="s">
        <v>62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41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42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3.5(20220408)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zoomScale="118" zoomScaleNormal="100" zoomScaleSheetLayoutView="118" workbookViewId="0">
      <selection activeCell="E25" sqref="E25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50" t="s">
        <v>43</v>
      </c>
      <c r="B1" s="151"/>
      <c r="C1" s="151"/>
      <c r="D1" s="151"/>
      <c r="E1" s="152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53" t="str">
        <f>'01Portada'!A19</f>
        <v>Planta</v>
      </c>
      <c r="D2" s="153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53" t="str">
        <f>'01Portada'!A23</f>
        <v>Servicio del equipo</v>
      </c>
      <c r="D3" s="153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53" t="str">
        <f>'01Portada'!A11</f>
        <v>Dependencia responsable</v>
      </c>
      <c r="D4" s="153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53" t="str">
        <f>'01Portada'!A25</f>
        <v>Sistema (donde pertenece el equipo)</v>
      </c>
      <c r="D5" s="153"/>
      <c r="E5" s="14">
        <f>'01Portada'!B25</f>
        <v>0</v>
      </c>
    </row>
    <row r="6" spans="1:9" x14ac:dyDescent="0.25">
      <c r="A6" s="144" t="str">
        <f>'01Portada'!A27</f>
        <v>Descripción breve del alcance</v>
      </c>
      <c r="B6" s="145">
        <f>'01Portada'!B27</f>
        <v>0</v>
      </c>
      <c r="C6" s="145"/>
      <c r="D6" s="145" t="s">
        <v>52</v>
      </c>
      <c r="E6" s="146"/>
      <c r="F6" s="55"/>
    </row>
    <row r="7" spans="1:9" ht="13.8" thickBot="1" x14ac:dyDescent="0.3">
      <c r="A7" s="144"/>
      <c r="B7" s="145"/>
      <c r="C7" s="145"/>
      <c r="D7" s="145"/>
      <c r="E7" s="146"/>
      <c r="F7" s="56"/>
    </row>
    <row r="8" spans="1:9" s="11" customFormat="1" ht="25.5" customHeight="1" x14ac:dyDescent="0.2">
      <c r="A8" s="57" t="s">
        <v>44</v>
      </c>
      <c r="B8" s="147" t="s">
        <v>45</v>
      </c>
      <c r="C8" s="148"/>
      <c r="D8" s="147" t="s">
        <v>70</v>
      </c>
      <c r="E8" s="149"/>
      <c r="F8" s="58"/>
      <c r="H8" s="143"/>
      <c r="I8" s="143"/>
    </row>
    <row r="9" spans="1:9" ht="13.8" thickBot="1" x14ac:dyDescent="0.3">
      <c r="A9" s="8" t="s">
        <v>46</v>
      </c>
      <c r="B9" s="135" t="s">
        <v>47</v>
      </c>
      <c r="C9" s="136"/>
      <c r="D9" s="135"/>
      <c r="E9" s="137"/>
      <c r="F9" s="59"/>
    </row>
    <row r="10" spans="1:9" ht="13.8" thickBot="1" x14ac:dyDescent="0.3">
      <c r="A10" s="8" t="s">
        <v>71</v>
      </c>
      <c r="B10" s="135" t="s">
        <v>47</v>
      </c>
      <c r="C10" s="136"/>
      <c r="D10" s="135"/>
      <c r="E10" s="137"/>
      <c r="F10" s="59"/>
    </row>
    <row r="11" spans="1:9" ht="13.8" thickBot="1" x14ac:dyDescent="0.3">
      <c r="A11" s="8" t="s">
        <v>72</v>
      </c>
      <c r="B11" s="135" t="s">
        <v>47</v>
      </c>
      <c r="C11" s="136"/>
      <c r="D11" s="135"/>
      <c r="E11" s="137"/>
      <c r="F11" s="59"/>
    </row>
    <row r="12" spans="1:9" ht="13.8" thickBot="1" x14ac:dyDescent="0.3">
      <c r="A12" s="8" t="s">
        <v>73</v>
      </c>
      <c r="B12" s="135" t="s">
        <v>47</v>
      </c>
      <c r="C12" s="136"/>
      <c r="D12" s="135"/>
      <c r="E12" s="137"/>
      <c r="F12" s="59"/>
    </row>
    <row r="13" spans="1:9" ht="13.8" thickBot="1" x14ac:dyDescent="0.3">
      <c r="A13" s="8" t="s">
        <v>74</v>
      </c>
      <c r="B13" s="135" t="s">
        <v>47</v>
      </c>
      <c r="C13" s="136"/>
      <c r="D13" s="135"/>
      <c r="E13" s="137"/>
      <c r="F13" s="59"/>
    </row>
    <row r="14" spans="1:9" ht="13.8" thickBot="1" x14ac:dyDescent="0.3">
      <c r="A14" s="8" t="s">
        <v>75</v>
      </c>
      <c r="B14" s="135" t="s">
        <v>47</v>
      </c>
      <c r="C14" s="136"/>
      <c r="D14" s="135"/>
      <c r="E14" s="137"/>
      <c r="F14" s="59"/>
    </row>
    <row r="15" spans="1:9" ht="13.8" thickBot="1" x14ac:dyDescent="0.3">
      <c r="A15" s="8" t="s">
        <v>76</v>
      </c>
      <c r="B15" s="135" t="s">
        <v>47</v>
      </c>
      <c r="C15" s="136"/>
      <c r="D15" s="135"/>
      <c r="E15" s="137"/>
      <c r="F15" s="59"/>
    </row>
    <row r="16" spans="1:9" ht="13.8" thickBot="1" x14ac:dyDescent="0.3">
      <c r="A16" s="8" t="s">
        <v>77</v>
      </c>
      <c r="B16" s="135" t="s">
        <v>47</v>
      </c>
      <c r="C16" s="136"/>
      <c r="D16" s="135"/>
      <c r="E16" s="137"/>
      <c r="F16" s="59"/>
    </row>
    <row r="17" spans="1:6" ht="13.8" thickBot="1" x14ac:dyDescent="0.3">
      <c r="A17" s="8" t="s">
        <v>78</v>
      </c>
      <c r="B17" s="135" t="s">
        <v>47</v>
      </c>
      <c r="C17" s="136"/>
      <c r="D17" s="135"/>
      <c r="E17" s="137"/>
      <c r="F17" s="59"/>
    </row>
    <row r="18" spans="1:6" ht="13.8" thickBot="1" x14ac:dyDescent="0.3">
      <c r="A18" s="8" t="s">
        <v>79</v>
      </c>
      <c r="B18" s="135" t="s">
        <v>47</v>
      </c>
      <c r="C18" s="136"/>
      <c r="D18" s="135"/>
      <c r="E18" s="137"/>
      <c r="F18" s="59"/>
    </row>
    <row r="19" spans="1:6" ht="36.75" customHeight="1" thickBot="1" x14ac:dyDescent="0.3">
      <c r="A19" s="8" t="s">
        <v>80</v>
      </c>
      <c r="B19" s="135"/>
      <c r="C19" s="136"/>
      <c r="D19" s="135" t="s">
        <v>47</v>
      </c>
      <c r="E19" s="137"/>
      <c r="F19" s="59"/>
    </row>
    <row r="20" spans="1:6" ht="14.25" customHeight="1" thickBot="1" x14ac:dyDescent="0.3">
      <c r="A20" s="8" t="s">
        <v>81</v>
      </c>
      <c r="B20" s="135"/>
      <c r="C20" s="136"/>
      <c r="D20" s="135" t="s">
        <v>47</v>
      </c>
      <c r="E20" s="137"/>
      <c r="F20" s="59"/>
    </row>
    <row r="21" spans="1:6" ht="13.8" thickBot="1" x14ac:dyDescent="0.3">
      <c r="A21" s="8" t="s">
        <v>82</v>
      </c>
      <c r="B21" s="135"/>
      <c r="C21" s="136"/>
      <c r="D21" s="135" t="s">
        <v>47</v>
      </c>
      <c r="E21" s="137"/>
      <c r="F21" s="59"/>
    </row>
    <row r="22" spans="1:6" ht="13.8" thickBot="1" x14ac:dyDescent="0.3">
      <c r="A22" s="8" t="s">
        <v>83</v>
      </c>
      <c r="B22" s="135"/>
      <c r="C22" s="136"/>
      <c r="D22" s="135" t="s">
        <v>47</v>
      </c>
      <c r="E22" s="137"/>
      <c r="F22" s="59"/>
    </row>
    <row r="23" spans="1:6" ht="13.8" thickBot="1" x14ac:dyDescent="0.3">
      <c r="A23" s="8" t="s">
        <v>84</v>
      </c>
      <c r="B23" s="135"/>
      <c r="C23" s="136"/>
      <c r="D23" s="135" t="s">
        <v>47</v>
      </c>
      <c r="E23" s="137"/>
      <c r="F23" s="59"/>
    </row>
    <row r="24" spans="1:6" ht="13.8" thickBot="1" x14ac:dyDescent="0.3">
      <c r="A24" s="18" t="s">
        <v>48</v>
      </c>
      <c r="B24" s="141" t="s">
        <v>49</v>
      </c>
      <c r="C24" s="141"/>
      <c r="D24" s="141"/>
      <c r="E24" s="19" t="s">
        <v>23</v>
      </c>
      <c r="F24" s="52"/>
    </row>
    <row r="25" spans="1:6" ht="13.8" x14ac:dyDescent="0.25">
      <c r="A25" s="9" t="str">
        <f>'01Portada'!A33</f>
        <v>Planeador Ecopetrol</v>
      </c>
      <c r="B25" s="135">
        <f>'01Portada'!B33</f>
        <v>0</v>
      </c>
      <c r="C25" s="142"/>
      <c r="D25" s="136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38" t="str">
        <f>'01Portada'!B36</f>
        <v>N/A</v>
      </c>
      <c r="C26" s="139"/>
      <c r="D26" s="140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38">
        <f>'01Portada'!B38</f>
        <v>0</v>
      </c>
      <c r="C27" s="139"/>
      <c r="D27" s="140"/>
      <c r="E27" s="22"/>
    </row>
  </sheetData>
  <sheetProtection insertRows="0" deleteRows="0"/>
  <mergeCells count="44">
    <mergeCell ref="A6:A7"/>
    <mergeCell ref="B6:E7"/>
    <mergeCell ref="B8:C8"/>
    <mergeCell ref="D8:E8"/>
    <mergeCell ref="A1:E1"/>
    <mergeCell ref="C2:D2"/>
    <mergeCell ref="C3:D3"/>
    <mergeCell ref="C4:D4"/>
    <mergeCell ref="C5:D5"/>
    <mergeCell ref="H8:I8"/>
    <mergeCell ref="B9:C9"/>
    <mergeCell ref="D9:E9"/>
    <mergeCell ref="B11:C11"/>
    <mergeCell ref="D11:E11"/>
    <mergeCell ref="B10:C10"/>
    <mergeCell ref="D10:E10"/>
    <mergeCell ref="B12:C12"/>
    <mergeCell ref="D12:E12"/>
    <mergeCell ref="B13:C13"/>
    <mergeCell ref="D13:E13"/>
    <mergeCell ref="B14:C14"/>
    <mergeCell ref="D14:E14"/>
    <mergeCell ref="B15:C15"/>
    <mergeCell ref="D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H15" sqref="H15"/>
    </sheetView>
  </sheetViews>
  <sheetFormatPr baseColWidth="10" defaultRowHeight="14.4" x14ac:dyDescent="0.3"/>
  <sheetData>
    <row r="1" spans="1:18" x14ac:dyDescent="0.3">
      <c r="A1" s="122"/>
      <c r="B1" s="123"/>
      <c r="C1" s="123"/>
      <c r="D1" s="123"/>
      <c r="E1" s="123"/>
      <c r="F1" s="123"/>
      <c r="G1" s="123"/>
      <c r="H1" s="123"/>
      <c r="I1" s="124"/>
      <c r="J1" s="122"/>
      <c r="K1" s="123"/>
      <c r="L1" s="123"/>
      <c r="M1" s="123"/>
      <c r="N1" s="123"/>
      <c r="O1" s="123"/>
      <c r="P1" s="123"/>
      <c r="Q1" s="123"/>
      <c r="R1" s="124"/>
    </row>
    <row r="2" spans="1:18" x14ac:dyDescent="0.3">
      <c r="A2" s="125"/>
      <c r="B2" s="126"/>
      <c r="C2" s="126"/>
      <c r="D2" s="126"/>
      <c r="E2" s="126"/>
      <c r="F2" s="126"/>
      <c r="G2" s="126"/>
      <c r="H2" s="126"/>
      <c r="I2" s="127"/>
      <c r="J2" s="125"/>
      <c r="K2" s="126"/>
      <c r="L2" s="126"/>
      <c r="M2" s="126"/>
      <c r="N2" s="126"/>
      <c r="O2" s="126"/>
      <c r="P2" s="126"/>
      <c r="Q2" s="126"/>
      <c r="R2" s="127"/>
    </row>
    <row r="3" spans="1:18" x14ac:dyDescent="0.3">
      <c r="A3" s="125"/>
      <c r="B3" s="126"/>
      <c r="C3" s="126"/>
      <c r="D3" s="126"/>
      <c r="E3" s="126"/>
      <c r="F3" s="126"/>
      <c r="G3" s="126"/>
      <c r="H3" s="126"/>
      <c r="I3" s="127"/>
      <c r="J3" s="125"/>
      <c r="K3" s="126"/>
      <c r="L3" s="126"/>
      <c r="M3" s="126"/>
      <c r="N3" s="126"/>
      <c r="O3" s="126"/>
      <c r="P3" s="126"/>
      <c r="Q3" s="126"/>
      <c r="R3" s="127"/>
    </row>
    <row r="4" spans="1:18" x14ac:dyDescent="0.3">
      <c r="A4" s="125"/>
      <c r="B4" s="126"/>
      <c r="C4" s="126"/>
      <c r="D4" s="126"/>
      <c r="E4" s="126"/>
      <c r="F4" s="126"/>
      <c r="G4" s="126"/>
      <c r="H4" s="126"/>
      <c r="I4" s="127"/>
      <c r="J4" s="125"/>
      <c r="K4" s="126"/>
      <c r="L4" s="126"/>
      <c r="M4" s="126"/>
      <c r="N4" s="126"/>
      <c r="O4" s="126"/>
      <c r="P4" s="126"/>
      <c r="Q4" s="126"/>
      <c r="R4" s="127"/>
    </row>
    <row r="5" spans="1:18" x14ac:dyDescent="0.3">
      <c r="A5" s="125"/>
      <c r="B5" s="126"/>
      <c r="C5" s="126"/>
      <c r="D5" s="126"/>
      <c r="E5" s="126"/>
      <c r="F5" s="126"/>
      <c r="G5" s="126"/>
      <c r="H5" s="126"/>
      <c r="I5" s="127"/>
      <c r="J5" s="125"/>
      <c r="K5" s="126"/>
      <c r="L5" s="126"/>
      <c r="M5" s="126"/>
      <c r="N5" s="126"/>
      <c r="O5" s="126"/>
      <c r="P5" s="126"/>
      <c r="Q5" s="126"/>
      <c r="R5" s="127"/>
    </row>
    <row r="6" spans="1:18" x14ac:dyDescent="0.3">
      <c r="A6" s="125"/>
      <c r="B6" s="126"/>
      <c r="C6" s="126"/>
      <c r="D6" s="126"/>
      <c r="E6" s="126"/>
      <c r="F6" s="126"/>
      <c r="G6" s="126"/>
      <c r="H6" s="126"/>
      <c r="I6" s="127"/>
      <c r="J6" s="125"/>
      <c r="K6" s="126"/>
      <c r="L6" s="126"/>
      <c r="M6" s="126"/>
      <c r="N6" s="126"/>
      <c r="O6" s="126"/>
      <c r="P6" s="126"/>
      <c r="Q6" s="126"/>
      <c r="R6" s="127"/>
    </row>
    <row r="7" spans="1:18" x14ac:dyDescent="0.3">
      <c r="A7" s="125"/>
      <c r="B7" s="126"/>
      <c r="C7" s="126"/>
      <c r="D7" s="126"/>
      <c r="E7" s="126"/>
      <c r="F7" s="126"/>
      <c r="G7" s="126"/>
      <c r="H7" s="126"/>
      <c r="I7" s="127"/>
      <c r="J7" s="125"/>
      <c r="K7" s="126"/>
      <c r="L7" s="126"/>
      <c r="M7" s="126"/>
      <c r="N7" s="126"/>
      <c r="O7" s="126"/>
      <c r="P7" s="126"/>
      <c r="Q7" s="126"/>
      <c r="R7" s="127"/>
    </row>
    <row r="8" spans="1:18" x14ac:dyDescent="0.3">
      <c r="A8" s="125"/>
      <c r="B8" s="126"/>
      <c r="C8" s="126"/>
      <c r="D8" s="126"/>
      <c r="E8" s="126"/>
      <c r="F8" s="126"/>
      <c r="G8" s="126"/>
      <c r="H8" s="126"/>
      <c r="I8" s="127"/>
      <c r="J8" s="125"/>
      <c r="K8" s="126"/>
      <c r="L8" s="126"/>
      <c r="M8" s="126"/>
      <c r="N8" s="126"/>
      <c r="O8" s="126"/>
      <c r="P8" s="126"/>
      <c r="Q8" s="126"/>
      <c r="R8" s="127"/>
    </row>
    <row r="9" spans="1:18" x14ac:dyDescent="0.3">
      <c r="A9" s="125"/>
      <c r="B9" s="126"/>
      <c r="C9" s="126"/>
      <c r="D9" s="126"/>
      <c r="E9" s="126"/>
      <c r="F9" s="126"/>
      <c r="G9" s="126"/>
      <c r="H9" s="126"/>
      <c r="I9" s="127"/>
      <c r="J9" s="125"/>
      <c r="K9" s="126"/>
      <c r="L9" s="126"/>
      <c r="M9" s="126"/>
      <c r="N9" s="126"/>
      <c r="O9" s="126"/>
      <c r="P9" s="126"/>
      <c r="Q9" s="126"/>
      <c r="R9" s="127"/>
    </row>
    <row r="10" spans="1:18" x14ac:dyDescent="0.3">
      <c r="A10" s="125"/>
      <c r="B10" s="126"/>
      <c r="C10" s="126"/>
      <c r="D10" s="126"/>
      <c r="E10" s="126"/>
      <c r="F10" s="126"/>
      <c r="G10" s="126"/>
      <c r="H10" s="126"/>
      <c r="I10" s="127"/>
      <c r="J10" s="125"/>
      <c r="K10" s="126"/>
      <c r="L10" s="126"/>
      <c r="M10" s="126"/>
      <c r="N10" s="126"/>
      <c r="O10" s="126"/>
      <c r="P10" s="126"/>
      <c r="Q10" s="126"/>
      <c r="R10" s="127"/>
    </row>
    <row r="11" spans="1:18" x14ac:dyDescent="0.3">
      <c r="A11" s="125"/>
      <c r="B11" s="126"/>
      <c r="C11" s="126"/>
      <c r="D11" s="126"/>
      <c r="E11" s="126"/>
      <c r="F11" s="126"/>
      <c r="G11" s="126"/>
      <c r="H11" s="126"/>
      <c r="I11" s="127"/>
      <c r="J11" s="125"/>
      <c r="K11" s="126"/>
      <c r="L11" s="126"/>
      <c r="M11" s="126"/>
      <c r="N11" s="126"/>
      <c r="O11" s="126"/>
      <c r="P11" s="126"/>
      <c r="Q11" s="126"/>
      <c r="R11" s="127"/>
    </row>
    <row r="12" spans="1:18" x14ac:dyDescent="0.3">
      <c r="A12" s="125"/>
      <c r="B12" s="126"/>
      <c r="C12" s="126"/>
      <c r="D12" s="126"/>
      <c r="E12" s="126"/>
      <c r="F12" s="126"/>
      <c r="G12" s="126"/>
      <c r="H12" s="126"/>
      <c r="I12" s="127"/>
      <c r="J12" s="125"/>
      <c r="K12" s="126"/>
      <c r="L12" s="126"/>
      <c r="M12" s="126"/>
      <c r="N12" s="126"/>
      <c r="O12" s="126"/>
      <c r="P12" s="126"/>
      <c r="Q12" s="126"/>
      <c r="R12" s="127"/>
    </row>
    <row r="13" spans="1:18" x14ac:dyDescent="0.3">
      <c r="A13" s="125"/>
      <c r="B13" s="126"/>
      <c r="C13" s="126"/>
      <c r="D13" s="126"/>
      <c r="E13" s="126"/>
      <c r="F13" s="126"/>
      <c r="G13" s="126"/>
      <c r="H13" s="126"/>
      <c r="I13" s="127"/>
      <c r="J13" s="125"/>
      <c r="K13" s="126"/>
      <c r="L13" s="126"/>
      <c r="M13" s="126"/>
      <c r="N13" s="126"/>
      <c r="O13" s="126"/>
      <c r="P13" s="126"/>
      <c r="Q13" s="126"/>
      <c r="R13" s="127"/>
    </row>
    <row r="14" spans="1:18" x14ac:dyDescent="0.3">
      <c r="A14" s="125"/>
      <c r="B14" s="126"/>
      <c r="C14" s="126"/>
      <c r="D14" s="126"/>
      <c r="E14" s="126"/>
      <c r="F14" s="126"/>
      <c r="G14" s="126"/>
      <c r="H14" s="126"/>
      <c r="I14" s="127"/>
      <c r="J14" s="125"/>
      <c r="K14" s="126"/>
      <c r="L14" s="126"/>
      <c r="M14" s="126"/>
      <c r="N14" s="126"/>
      <c r="O14" s="126"/>
      <c r="P14" s="126"/>
      <c r="Q14" s="126"/>
      <c r="R14" s="127"/>
    </row>
    <row r="15" spans="1:18" x14ac:dyDescent="0.3">
      <c r="A15" s="125"/>
      <c r="B15" s="126"/>
      <c r="C15" s="126"/>
      <c r="D15" s="126"/>
      <c r="E15" s="126"/>
      <c r="F15" s="126"/>
      <c r="G15" s="126"/>
      <c r="H15" s="126"/>
      <c r="I15" s="127"/>
      <c r="J15" s="125"/>
      <c r="K15" s="126"/>
      <c r="L15" s="126"/>
      <c r="M15" s="126"/>
      <c r="N15" s="126"/>
      <c r="O15" s="126"/>
      <c r="P15" s="126"/>
      <c r="Q15" s="126"/>
      <c r="R15" s="127"/>
    </row>
    <row r="16" spans="1:18" x14ac:dyDescent="0.3">
      <c r="A16" s="125"/>
      <c r="B16" s="126"/>
      <c r="C16" s="126"/>
      <c r="D16" s="126"/>
      <c r="E16" s="126"/>
      <c r="F16" s="126"/>
      <c r="G16" s="126"/>
      <c r="H16" s="126"/>
      <c r="I16" s="127"/>
      <c r="J16" s="125"/>
      <c r="K16" s="126"/>
      <c r="L16" s="126"/>
      <c r="M16" s="126"/>
      <c r="N16" s="126"/>
      <c r="O16" s="126"/>
      <c r="P16" s="126"/>
      <c r="Q16" s="126"/>
      <c r="R16" s="127"/>
    </row>
    <row r="17" spans="1:18" x14ac:dyDescent="0.3">
      <c r="A17" s="125"/>
      <c r="B17" s="126"/>
      <c r="C17" s="126"/>
      <c r="D17" s="126"/>
      <c r="E17" s="126"/>
      <c r="F17" s="126"/>
      <c r="G17" s="126"/>
      <c r="H17" s="126"/>
      <c r="I17" s="127"/>
      <c r="J17" s="125"/>
      <c r="K17" s="126"/>
      <c r="L17" s="126"/>
      <c r="M17" s="126"/>
      <c r="N17" s="126"/>
      <c r="O17" s="126"/>
      <c r="P17" s="126"/>
      <c r="Q17" s="126"/>
      <c r="R17" s="127"/>
    </row>
    <row r="18" spans="1:18" x14ac:dyDescent="0.3">
      <c r="A18" s="125"/>
      <c r="B18" s="126"/>
      <c r="C18" s="126"/>
      <c r="D18" s="126"/>
      <c r="E18" s="126"/>
      <c r="F18" s="126"/>
      <c r="G18" s="126"/>
      <c r="H18" s="126"/>
      <c r="I18" s="127"/>
      <c r="J18" s="125"/>
      <c r="K18" s="126"/>
      <c r="L18" s="126"/>
      <c r="M18" s="126"/>
      <c r="N18" s="126"/>
      <c r="O18" s="126"/>
      <c r="P18" s="126"/>
      <c r="Q18" s="126"/>
      <c r="R18" s="127"/>
    </row>
    <row r="19" spans="1:18" x14ac:dyDescent="0.3">
      <c r="A19" s="125"/>
      <c r="B19" s="126"/>
      <c r="C19" s="126"/>
      <c r="D19" s="126"/>
      <c r="E19" s="126"/>
      <c r="F19" s="126"/>
      <c r="G19" s="126"/>
      <c r="H19" s="126"/>
      <c r="I19" s="127"/>
      <c r="J19" s="125"/>
      <c r="K19" s="126"/>
      <c r="L19" s="126"/>
      <c r="M19" s="126"/>
      <c r="N19" s="126"/>
      <c r="O19" s="126"/>
      <c r="P19" s="126"/>
      <c r="Q19" s="126"/>
      <c r="R19" s="127"/>
    </row>
    <row r="20" spans="1:18" x14ac:dyDescent="0.3">
      <c r="A20" s="125"/>
      <c r="B20" s="126"/>
      <c r="C20" s="126"/>
      <c r="D20" s="126"/>
      <c r="E20" s="126"/>
      <c r="F20" s="126"/>
      <c r="G20" s="126"/>
      <c r="H20" s="126"/>
      <c r="I20" s="127"/>
      <c r="J20" s="125"/>
      <c r="K20" s="126"/>
      <c r="L20" s="126"/>
      <c r="M20" s="126"/>
      <c r="N20" s="126"/>
      <c r="O20" s="126"/>
      <c r="P20" s="126"/>
      <c r="Q20" s="126"/>
      <c r="R20" s="127"/>
    </row>
    <row r="21" spans="1:18" x14ac:dyDescent="0.3">
      <c r="A21" s="125"/>
      <c r="B21" s="126"/>
      <c r="C21" s="126"/>
      <c r="D21" s="126"/>
      <c r="E21" s="126"/>
      <c r="F21" s="126"/>
      <c r="G21" s="126"/>
      <c r="H21" s="126"/>
      <c r="I21" s="127"/>
      <c r="J21" s="125"/>
      <c r="K21" s="126"/>
      <c r="L21" s="126"/>
      <c r="M21" s="126"/>
      <c r="N21" s="126"/>
      <c r="O21" s="126"/>
      <c r="P21" s="126"/>
      <c r="Q21" s="126"/>
      <c r="R21" s="127"/>
    </row>
    <row r="22" spans="1:18" x14ac:dyDescent="0.3">
      <c r="A22" s="125"/>
      <c r="B22" s="126"/>
      <c r="C22" s="126"/>
      <c r="D22" s="126"/>
      <c r="E22" s="126"/>
      <c r="F22" s="126"/>
      <c r="G22" s="126"/>
      <c r="H22" s="126"/>
      <c r="I22" s="127"/>
      <c r="J22" s="125"/>
      <c r="K22" s="126"/>
      <c r="L22" s="126"/>
      <c r="M22" s="126"/>
      <c r="N22" s="126"/>
      <c r="O22" s="126"/>
      <c r="P22" s="126"/>
      <c r="Q22" s="126"/>
      <c r="R22" s="127"/>
    </row>
    <row r="23" spans="1:18" x14ac:dyDescent="0.3">
      <c r="A23" s="125"/>
      <c r="B23" s="126"/>
      <c r="C23" s="126"/>
      <c r="D23" s="126"/>
      <c r="E23" s="126"/>
      <c r="F23" s="126"/>
      <c r="G23" s="126"/>
      <c r="H23" s="126"/>
      <c r="I23" s="127"/>
      <c r="J23" s="125"/>
      <c r="K23" s="126"/>
      <c r="L23" s="126"/>
      <c r="M23" s="126"/>
      <c r="N23" s="126"/>
      <c r="O23" s="126"/>
      <c r="P23" s="126"/>
      <c r="Q23" s="126"/>
      <c r="R23" s="127"/>
    </row>
    <row r="24" spans="1:18" x14ac:dyDescent="0.3">
      <c r="A24" s="125"/>
      <c r="B24" s="126"/>
      <c r="C24" s="126"/>
      <c r="D24" s="126"/>
      <c r="E24" s="126"/>
      <c r="F24" s="126"/>
      <c r="G24" s="126"/>
      <c r="H24" s="126"/>
      <c r="I24" s="127"/>
      <c r="J24" s="125"/>
      <c r="K24" s="126"/>
      <c r="L24" s="126"/>
      <c r="M24" s="126"/>
      <c r="N24" s="126"/>
      <c r="O24" s="126"/>
      <c r="P24" s="126"/>
      <c r="Q24" s="126"/>
      <c r="R24" s="127"/>
    </row>
    <row r="25" spans="1:18" x14ac:dyDescent="0.3">
      <c r="A25" s="125"/>
      <c r="B25" s="126"/>
      <c r="C25" s="126"/>
      <c r="D25" s="126"/>
      <c r="E25" s="126"/>
      <c r="F25" s="126"/>
      <c r="G25" s="126"/>
      <c r="H25" s="126"/>
      <c r="I25" s="127"/>
      <c r="J25" s="125"/>
      <c r="K25" s="126"/>
      <c r="L25" s="126"/>
      <c r="M25" s="126"/>
      <c r="N25" s="126"/>
      <c r="O25" s="126"/>
      <c r="P25" s="126"/>
      <c r="Q25" s="126"/>
      <c r="R25" s="127"/>
    </row>
    <row r="26" spans="1:18" x14ac:dyDescent="0.3">
      <c r="A26" s="125"/>
      <c r="B26" s="126"/>
      <c r="C26" s="126"/>
      <c r="D26" s="126"/>
      <c r="E26" s="126"/>
      <c r="F26" s="126"/>
      <c r="G26" s="126"/>
      <c r="H26" s="126"/>
      <c r="I26" s="127"/>
      <c r="J26" s="125"/>
      <c r="K26" s="126"/>
      <c r="L26" s="126"/>
      <c r="M26" s="126"/>
      <c r="N26" s="126"/>
      <c r="O26" s="126"/>
      <c r="P26" s="126"/>
      <c r="Q26" s="126"/>
      <c r="R26" s="127"/>
    </row>
    <row r="27" spans="1:18" x14ac:dyDescent="0.3">
      <c r="A27" s="125"/>
      <c r="B27" s="126"/>
      <c r="C27" s="126"/>
      <c r="D27" s="126"/>
      <c r="E27" s="126"/>
      <c r="F27" s="126"/>
      <c r="G27" s="126"/>
      <c r="H27" s="126"/>
      <c r="I27" s="127"/>
      <c r="J27" s="125"/>
      <c r="K27" s="126"/>
      <c r="L27" s="126"/>
      <c r="M27" s="126"/>
      <c r="N27" s="126"/>
      <c r="O27" s="126"/>
      <c r="P27" s="126"/>
      <c r="Q27" s="126"/>
      <c r="R27" s="127"/>
    </row>
    <row r="28" spans="1:18" x14ac:dyDescent="0.3">
      <c r="A28" s="125"/>
      <c r="B28" s="126"/>
      <c r="C28" s="126"/>
      <c r="D28" s="126"/>
      <c r="E28" s="126"/>
      <c r="F28" s="126"/>
      <c r="G28" s="126"/>
      <c r="H28" s="126"/>
      <c r="I28" s="127"/>
      <c r="J28" s="125"/>
      <c r="K28" s="126"/>
      <c r="L28" s="126"/>
      <c r="M28" s="126"/>
      <c r="N28" s="126"/>
      <c r="O28" s="126"/>
      <c r="P28" s="126"/>
      <c r="Q28" s="126"/>
      <c r="R28" s="127"/>
    </row>
    <row r="29" spans="1:18" ht="15" thickBot="1" x14ac:dyDescent="0.35">
      <c r="A29" s="128"/>
      <c r="B29" s="129"/>
      <c r="C29" s="129"/>
      <c r="D29" s="129"/>
      <c r="E29" s="129"/>
      <c r="F29" s="129"/>
      <c r="G29" s="129"/>
      <c r="H29" s="129"/>
      <c r="I29" s="130"/>
      <c r="J29" s="128"/>
      <c r="K29" s="129"/>
      <c r="L29" s="129"/>
      <c r="M29" s="129"/>
      <c r="N29" s="129"/>
      <c r="O29" s="129"/>
      <c r="P29" s="129"/>
      <c r="Q29" s="129"/>
      <c r="R29" s="130"/>
    </row>
    <row r="30" spans="1:18" x14ac:dyDescent="0.3">
      <c r="A30" s="122"/>
      <c r="B30" s="123"/>
      <c r="C30" s="123"/>
      <c r="D30" s="123"/>
      <c r="E30" s="123"/>
      <c r="F30" s="123"/>
      <c r="G30" s="123"/>
      <c r="H30" s="123"/>
      <c r="I30" s="124"/>
      <c r="J30" s="122"/>
      <c r="K30" s="123"/>
      <c r="L30" s="123"/>
      <c r="M30" s="123"/>
      <c r="N30" s="123"/>
      <c r="O30" s="123"/>
      <c r="P30" s="123"/>
      <c r="Q30" s="123"/>
      <c r="R30" s="124"/>
    </row>
    <row r="31" spans="1:18" x14ac:dyDescent="0.3">
      <c r="A31" s="125"/>
      <c r="B31" s="126"/>
      <c r="C31" s="126"/>
      <c r="D31" s="126"/>
      <c r="E31" s="126"/>
      <c r="F31" s="126"/>
      <c r="G31" s="126"/>
      <c r="H31" s="126"/>
      <c r="I31" s="127"/>
      <c r="J31" s="125"/>
      <c r="K31" s="126"/>
      <c r="L31" s="126"/>
      <c r="M31" s="126"/>
      <c r="N31" s="126"/>
      <c r="O31" s="126"/>
      <c r="P31" s="126"/>
      <c r="Q31" s="126"/>
      <c r="R31" s="127"/>
    </row>
    <row r="32" spans="1:18" x14ac:dyDescent="0.3">
      <c r="A32" s="125"/>
      <c r="B32" s="126"/>
      <c r="C32" s="126"/>
      <c r="D32" s="126"/>
      <c r="E32" s="126"/>
      <c r="F32" s="126"/>
      <c r="G32" s="126"/>
      <c r="H32" s="126"/>
      <c r="I32" s="127"/>
      <c r="J32" s="125"/>
      <c r="K32" s="126"/>
      <c r="L32" s="126"/>
      <c r="M32" s="126"/>
      <c r="N32" s="126"/>
      <c r="O32" s="126"/>
      <c r="P32" s="126"/>
      <c r="Q32" s="126"/>
      <c r="R32" s="127"/>
    </row>
    <row r="33" spans="1:18" x14ac:dyDescent="0.3">
      <c r="A33" s="125"/>
      <c r="B33" s="126"/>
      <c r="C33" s="126"/>
      <c r="D33" s="126"/>
      <c r="E33" s="126"/>
      <c r="F33" s="126"/>
      <c r="G33" s="126"/>
      <c r="H33" s="126"/>
      <c r="I33" s="127"/>
      <c r="J33" s="125"/>
      <c r="K33" s="126"/>
      <c r="L33" s="126"/>
      <c r="M33" s="126"/>
      <c r="N33" s="126"/>
      <c r="O33" s="126"/>
      <c r="P33" s="126"/>
      <c r="Q33" s="126"/>
      <c r="R33" s="127"/>
    </row>
    <row r="34" spans="1:18" x14ac:dyDescent="0.3">
      <c r="A34" s="125"/>
      <c r="B34" s="126"/>
      <c r="C34" s="126"/>
      <c r="D34" s="126"/>
      <c r="E34" s="126"/>
      <c r="F34" s="126"/>
      <c r="G34" s="126"/>
      <c r="H34" s="126"/>
      <c r="I34" s="127"/>
      <c r="J34" s="125"/>
      <c r="K34" s="126"/>
      <c r="L34" s="126"/>
      <c r="M34" s="126"/>
      <c r="N34" s="126"/>
      <c r="O34" s="126"/>
      <c r="P34" s="126"/>
      <c r="Q34" s="126"/>
      <c r="R34" s="127"/>
    </row>
    <row r="35" spans="1:18" x14ac:dyDescent="0.3">
      <c r="A35" s="125"/>
      <c r="B35" s="126"/>
      <c r="C35" s="126"/>
      <c r="D35" s="126"/>
      <c r="E35" s="126"/>
      <c r="F35" s="126"/>
      <c r="G35" s="126"/>
      <c r="H35" s="126"/>
      <c r="I35" s="127"/>
      <c r="J35" s="125"/>
      <c r="K35" s="126"/>
      <c r="L35" s="126"/>
      <c r="M35" s="126"/>
      <c r="N35" s="126"/>
      <c r="O35" s="126"/>
      <c r="P35" s="126"/>
      <c r="Q35" s="126"/>
      <c r="R35" s="127"/>
    </row>
    <row r="36" spans="1:18" x14ac:dyDescent="0.3">
      <c r="A36" s="125"/>
      <c r="B36" s="126"/>
      <c r="C36" s="126"/>
      <c r="D36" s="126"/>
      <c r="E36" s="126"/>
      <c r="F36" s="126"/>
      <c r="G36" s="126"/>
      <c r="H36" s="126"/>
      <c r="I36" s="127"/>
      <c r="J36" s="125"/>
      <c r="K36" s="126"/>
      <c r="L36" s="126"/>
      <c r="M36" s="126"/>
      <c r="N36" s="126"/>
      <c r="O36" s="126"/>
      <c r="P36" s="126"/>
      <c r="Q36" s="126"/>
      <c r="R36" s="127"/>
    </row>
    <row r="37" spans="1:18" x14ac:dyDescent="0.3">
      <c r="A37" s="125"/>
      <c r="B37" s="126"/>
      <c r="C37" s="126"/>
      <c r="D37" s="126"/>
      <c r="E37" s="126"/>
      <c r="F37" s="126"/>
      <c r="G37" s="126"/>
      <c r="H37" s="126"/>
      <c r="I37" s="127"/>
      <c r="J37" s="125"/>
      <c r="K37" s="126"/>
      <c r="L37" s="126"/>
      <c r="M37" s="126"/>
      <c r="N37" s="126"/>
      <c r="O37" s="126"/>
      <c r="P37" s="126"/>
      <c r="Q37" s="126"/>
      <c r="R37" s="127"/>
    </row>
    <row r="38" spans="1:18" x14ac:dyDescent="0.3">
      <c r="A38" s="125"/>
      <c r="B38" s="126"/>
      <c r="C38" s="126"/>
      <c r="D38" s="126"/>
      <c r="E38" s="126"/>
      <c r="F38" s="126"/>
      <c r="G38" s="126"/>
      <c r="H38" s="126"/>
      <c r="I38" s="127"/>
      <c r="J38" s="125"/>
      <c r="K38" s="126"/>
      <c r="L38" s="126"/>
      <c r="M38" s="126"/>
      <c r="N38" s="126"/>
      <c r="O38" s="126"/>
      <c r="P38" s="126"/>
      <c r="Q38" s="126"/>
      <c r="R38" s="127"/>
    </row>
    <row r="39" spans="1:18" x14ac:dyDescent="0.3">
      <c r="A39" s="125"/>
      <c r="B39" s="126"/>
      <c r="C39" s="126"/>
      <c r="D39" s="126"/>
      <c r="E39" s="126"/>
      <c r="F39" s="126"/>
      <c r="G39" s="126"/>
      <c r="H39" s="126"/>
      <c r="I39" s="127"/>
      <c r="J39" s="125"/>
      <c r="K39" s="126"/>
      <c r="L39" s="126"/>
      <c r="M39" s="126"/>
      <c r="N39" s="126"/>
      <c r="O39" s="126"/>
      <c r="P39" s="126"/>
      <c r="Q39" s="126"/>
      <c r="R39" s="127"/>
    </row>
    <row r="40" spans="1:18" x14ac:dyDescent="0.3">
      <c r="A40" s="125"/>
      <c r="B40" s="126"/>
      <c r="C40" s="126"/>
      <c r="D40" s="126"/>
      <c r="E40" s="126"/>
      <c r="F40" s="126"/>
      <c r="G40" s="126"/>
      <c r="H40" s="126"/>
      <c r="I40" s="127"/>
      <c r="J40" s="125"/>
      <c r="K40" s="126"/>
      <c r="L40" s="126"/>
      <c r="M40" s="126"/>
      <c r="N40" s="126"/>
      <c r="O40" s="126"/>
      <c r="P40" s="126"/>
      <c r="Q40" s="126"/>
      <c r="R40" s="127"/>
    </row>
    <row r="41" spans="1:18" x14ac:dyDescent="0.3">
      <c r="A41" s="125"/>
      <c r="B41" s="126"/>
      <c r="C41" s="126"/>
      <c r="D41" s="126"/>
      <c r="E41" s="126"/>
      <c r="F41" s="126"/>
      <c r="G41" s="126"/>
      <c r="H41" s="126"/>
      <c r="I41" s="127"/>
      <c r="J41" s="125"/>
      <c r="K41" s="126"/>
      <c r="L41" s="126"/>
      <c r="M41" s="126"/>
      <c r="N41" s="126"/>
      <c r="O41" s="126"/>
      <c r="P41" s="126"/>
      <c r="Q41" s="126"/>
      <c r="R41" s="127"/>
    </row>
    <row r="42" spans="1:18" x14ac:dyDescent="0.3">
      <c r="A42" s="125"/>
      <c r="B42" s="126"/>
      <c r="C42" s="126"/>
      <c r="D42" s="126"/>
      <c r="E42" s="126"/>
      <c r="F42" s="126"/>
      <c r="G42" s="126"/>
      <c r="H42" s="126"/>
      <c r="I42" s="127"/>
      <c r="J42" s="125"/>
      <c r="K42" s="126"/>
      <c r="L42" s="126"/>
      <c r="M42" s="126"/>
      <c r="N42" s="126"/>
      <c r="O42" s="126"/>
      <c r="P42" s="126"/>
      <c r="Q42" s="126"/>
      <c r="R42" s="127"/>
    </row>
    <row r="43" spans="1:18" x14ac:dyDescent="0.3">
      <c r="A43" s="125"/>
      <c r="B43" s="126"/>
      <c r="C43" s="126"/>
      <c r="D43" s="126"/>
      <c r="E43" s="126"/>
      <c r="F43" s="126"/>
      <c r="G43" s="126"/>
      <c r="H43" s="126"/>
      <c r="I43" s="127"/>
      <c r="J43" s="125"/>
      <c r="K43" s="126"/>
      <c r="L43" s="126"/>
      <c r="M43" s="126"/>
      <c r="N43" s="126"/>
      <c r="O43" s="126"/>
      <c r="P43" s="126"/>
      <c r="Q43" s="126"/>
      <c r="R43" s="127"/>
    </row>
    <row r="44" spans="1:18" x14ac:dyDescent="0.3">
      <c r="A44" s="125"/>
      <c r="B44" s="126"/>
      <c r="C44" s="126"/>
      <c r="D44" s="126"/>
      <c r="E44" s="126"/>
      <c r="F44" s="126"/>
      <c r="G44" s="126"/>
      <c r="H44" s="126"/>
      <c r="I44" s="127"/>
      <c r="J44" s="125"/>
      <c r="K44" s="126"/>
      <c r="L44" s="126"/>
      <c r="M44" s="126"/>
      <c r="N44" s="126"/>
      <c r="O44" s="126"/>
      <c r="P44" s="126"/>
      <c r="Q44" s="126"/>
      <c r="R44" s="127"/>
    </row>
    <row r="45" spans="1:18" x14ac:dyDescent="0.3">
      <c r="A45" s="125"/>
      <c r="B45" s="126"/>
      <c r="C45" s="126"/>
      <c r="D45" s="126"/>
      <c r="E45" s="126"/>
      <c r="F45" s="126"/>
      <c r="G45" s="126"/>
      <c r="H45" s="126"/>
      <c r="I45" s="127"/>
      <c r="J45" s="125"/>
      <c r="K45" s="126"/>
      <c r="L45" s="126"/>
      <c r="M45" s="126"/>
      <c r="N45" s="126"/>
      <c r="O45" s="126"/>
      <c r="P45" s="126"/>
      <c r="Q45" s="126"/>
      <c r="R45" s="127"/>
    </row>
    <row r="46" spans="1:18" x14ac:dyDescent="0.3">
      <c r="A46" s="125"/>
      <c r="B46" s="126"/>
      <c r="C46" s="126"/>
      <c r="D46" s="126"/>
      <c r="E46" s="126"/>
      <c r="F46" s="126"/>
      <c r="G46" s="126"/>
      <c r="H46" s="126"/>
      <c r="I46" s="127"/>
      <c r="J46" s="125"/>
      <c r="K46" s="126"/>
      <c r="L46" s="126"/>
      <c r="M46" s="126"/>
      <c r="N46" s="126"/>
      <c r="O46" s="126"/>
      <c r="P46" s="126"/>
      <c r="Q46" s="126"/>
      <c r="R46" s="127"/>
    </row>
    <row r="47" spans="1:18" x14ac:dyDescent="0.3">
      <c r="A47" s="125"/>
      <c r="B47" s="126"/>
      <c r="C47" s="126"/>
      <c r="D47" s="126"/>
      <c r="E47" s="126"/>
      <c r="F47" s="126"/>
      <c r="G47" s="126"/>
      <c r="H47" s="126"/>
      <c r="I47" s="127"/>
      <c r="J47" s="125"/>
      <c r="K47" s="126"/>
      <c r="L47" s="126"/>
      <c r="M47" s="126"/>
      <c r="N47" s="126"/>
      <c r="O47" s="126"/>
      <c r="P47" s="126"/>
      <c r="Q47" s="126"/>
      <c r="R47" s="127"/>
    </row>
    <row r="48" spans="1:18" x14ac:dyDescent="0.3">
      <c r="A48" s="125"/>
      <c r="B48" s="126"/>
      <c r="C48" s="126"/>
      <c r="D48" s="126"/>
      <c r="E48" s="126"/>
      <c r="F48" s="126"/>
      <c r="G48" s="126"/>
      <c r="H48" s="126"/>
      <c r="I48" s="127"/>
      <c r="J48" s="125"/>
      <c r="K48" s="126"/>
      <c r="L48" s="126"/>
      <c r="M48" s="126"/>
      <c r="N48" s="126"/>
      <c r="O48" s="126"/>
      <c r="P48" s="126"/>
      <c r="Q48" s="126"/>
      <c r="R48" s="127"/>
    </row>
    <row r="49" spans="1:18" x14ac:dyDescent="0.3">
      <c r="A49" s="125"/>
      <c r="B49" s="126"/>
      <c r="C49" s="126"/>
      <c r="D49" s="126"/>
      <c r="E49" s="126"/>
      <c r="F49" s="126"/>
      <c r="G49" s="126"/>
      <c r="H49" s="126"/>
      <c r="I49" s="127"/>
      <c r="J49" s="125"/>
      <c r="K49" s="126"/>
      <c r="L49" s="126"/>
      <c r="M49" s="126"/>
      <c r="N49" s="126"/>
      <c r="O49" s="126"/>
      <c r="P49" s="126"/>
      <c r="Q49" s="126"/>
      <c r="R49" s="127"/>
    </row>
    <row r="50" spans="1:18" x14ac:dyDescent="0.3">
      <c r="A50" s="125"/>
      <c r="B50" s="126"/>
      <c r="C50" s="126"/>
      <c r="D50" s="126"/>
      <c r="E50" s="126"/>
      <c r="F50" s="126"/>
      <c r="G50" s="126"/>
      <c r="H50" s="126"/>
      <c r="I50" s="127"/>
      <c r="J50" s="125"/>
      <c r="K50" s="126"/>
      <c r="L50" s="126"/>
      <c r="M50" s="126"/>
      <c r="N50" s="126"/>
      <c r="O50" s="126"/>
      <c r="P50" s="126"/>
      <c r="Q50" s="126"/>
      <c r="R50" s="127"/>
    </row>
    <row r="51" spans="1:18" x14ac:dyDescent="0.3">
      <c r="A51" s="125"/>
      <c r="B51" s="126"/>
      <c r="C51" s="126"/>
      <c r="D51" s="126"/>
      <c r="E51" s="126"/>
      <c r="F51" s="126"/>
      <c r="G51" s="126"/>
      <c r="H51" s="126"/>
      <c r="I51" s="127"/>
      <c r="J51" s="125"/>
      <c r="K51" s="126"/>
      <c r="L51" s="126"/>
      <c r="M51" s="126"/>
      <c r="N51" s="126"/>
      <c r="O51" s="126"/>
      <c r="P51" s="126"/>
      <c r="Q51" s="126"/>
      <c r="R51" s="127"/>
    </row>
    <row r="52" spans="1:18" x14ac:dyDescent="0.3">
      <c r="A52" s="125"/>
      <c r="B52" s="126"/>
      <c r="C52" s="126"/>
      <c r="D52" s="126"/>
      <c r="E52" s="126"/>
      <c r="F52" s="126"/>
      <c r="G52" s="126"/>
      <c r="H52" s="126"/>
      <c r="I52" s="127"/>
      <c r="J52" s="125"/>
      <c r="K52" s="126"/>
      <c r="L52" s="126"/>
      <c r="M52" s="126"/>
      <c r="N52" s="126"/>
      <c r="O52" s="126"/>
      <c r="P52" s="126"/>
      <c r="Q52" s="126"/>
      <c r="R52" s="127"/>
    </row>
    <row r="53" spans="1:18" x14ac:dyDescent="0.3">
      <c r="A53" s="125"/>
      <c r="B53" s="126"/>
      <c r="C53" s="126"/>
      <c r="D53" s="126"/>
      <c r="E53" s="126"/>
      <c r="F53" s="126"/>
      <c r="G53" s="126"/>
      <c r="H53" s="126"/>
      <c r="I53" s="127"/>
      <c r="J53" s="125"/>
      <c r="K53" s="126"/>
      <c r="L53" s="126"/>
      <c r="M53" s="126"/>
      <c r="N53" s="126"/>
      <c r="O53" s="126"/>
      <c r="P53" s="126"/>
      <c r="Q53" s="126"/>
      <c r="R53" s="127"/>
    </row>
    <row r="54" spans="1:18" x14ac:dyDescent="0.3">
      <c r="A54" s="125"/>
      <c r="B54" s="126"/>
      <c r="C54" s="126"/>
      <c r="D54" s="126"/>
      <c r="E54" s="126"/>
      <c r="F54" s="126"/>
      <c r="G54" s="126"/>
      <c r="H54" s="126"/>
      <c r="I54" s="127"/>
      <c r="J54" s="125"/>
      <c r="K54" s="126"/>
      <c r="L54" s="126"/>
      <c r="M54" s="126"/>
      <c r="N54" s="126"/>
      <c r="O54" s="126"/>
      <c r="P54" s="126"/>
      <c r="Q54" s="126"/>
      <c r="R54" s="127"/>
    </row>
    <row r="55" spans="1:18" x14ac:dyDescent="0.3">
      <c r="A55" s="125"/>
      <c r="B55" s="126"/>
      <c r="C55" s="126"/>
      <c r="D55" s="126"/>
      <c r="E55" s="126"/>
      <c r="F55" s="126"/>
      <c r="G55" s="126"/>
      <c r="H55" s="126"/>
      <c r="I55" s="127"/>
      <c r="J55" s="125"/>
      <c r="K55" s="126"/>
      <c r="L55" s="126"/>
      <c r="M55" s="126"/>
      <c r="N55" s="126"/>
      <c r="O55" s="126"/>
      <c r="P55" s="126"/>
      <c r="Q55" s="126"/>
      <c r="R55" s="127"/>
    </row>
    <row r="56" spans="1:18" x14ac:dyDescent="0.3">
      <c r="A56" s="125"/>
      <c r="B56" s="126"/>
      <c r="C56" s="126"/>
      <c r="D56" s="126"/>
      <c r="E56" s="126"/>
      <c r="F56" s="126"/>
      <c r="G56" s="126"/>
      <c r="H56" s="126"/>
      <c r="I56" s="127"/>
      <c r="J56" s="125"/>
      <c r="K56" s="126"/>
      <c r="L56" s="126"/>
      <c r="M56" s="126"/>
      <c r="N56" s="126"/>
      <c r="O56" s="126"/>
      <c r="P56" s="126"/>
      <c r="Q56" s="126"/>
      <c r="R56" s="127"/>
    </row>
    <row r="57" spans="1:18" x14ac:dyDescent="0.3">
      <c r="A57" s="125"/>
      <c r="B57" s="126"/>
      <c r="C57" s="126"/>
      <c r="D57" s="126"/>
      <c r="E57" s="126"/>
      <c r="F57" s="126"/>
      <c r="G57" s="126"/>
      <c r="H57" s="126"/>
      <c r="I57" s="127"/>
      <c r="J57" s="125"/>
      <c r="K57" s="126"/>
      <c r="L57" s="126"/>
      <c r="M57" s="126"/>
      <c r="N57" s="126"/>
      <c r="O57" s="126"/>
      <c r="P57" s="126"/>
      <c r="Q57" s="126"/>
      <c r="R57" s="127"/>
    </row>
    <row r="58" spans="1:18" x14ac:dyDescent="0.3">
      <c r="A58" s="125"/>
      <c r="B58" s="126"/>
      <c r="C58" s="126"/>
      <c r="D58" s="126"/>
      <c r="E58" s="126"/>
      <c r="F58" s="126"/>
      <c r="G58" s="126"/>
      <c r="H58" s="126"/>
      <c r="I58" s="127"/>
      <c r="J58" s="125"/>
      <c r="K58" s="126"/>
      <c r="L58" s="126"/>
      <c r="M58" s="126"/>
      <c r="N58" s="126"/>
      <c r="O58" s="126"/>
      <c r="P58" s="126"/>
      <c r="Q58" s="126"/>
      <c r="R58" s="127"/>
    </row>
    <row r="59" spans="1:18" ht="15" thickBot="1" x14ac:dyDescent="0.35">
      <c r="A59" s="128"/>
      <c r="B59" s="129"/>
      <c r="C59" s="129"/>
      <c r="D59" s="129"/>
      <c r="E59" s="129"/>
      <c r="F59" s="129"/>
      <c r="G59" s="129"/>
      <c r="H59" s="129"/>
      <c r="I59" s="130"/>
      <c r="J59" s="128"/>
      <c r="K59" s="129"/>
      <c r="L59" s="129"/>
      <c r="M59" s="129"/>
      <c r="N59" s="129"/>
      <c r="O59" s="129"/>
      <c r="P59" s="129"/>
      <c r="Q59" s="129"/>
      <c r="R59" s="130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E27" sqref="E27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66" t="str">
        <f>'01Portada'!A19</f>
        <v>Planta</v>
      </c>
      <c r="D1" s="166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67" t="str">
        <f>'01Portada'!A23</f>
        <v>Servicio del equipo</v>
      </c>
      <c r="D2" s="167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67" t="str">
        <f>'01Portada'!A11</f>
        <v>Dependencia responsable</v>
      </c>
      <c r="D3" s="167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67" t="str">
        <f>'01Portada'!A25</f>
        <v>Sistema (donde pertenece el equipo)</v>
      </c>
      <c r="D4" s="167"/>
      <c r="E4" s="14">
        <f>'01Portada'!B25</f>
        <v>0</v>
      </c>
    </row>
    <row r="5" spans="1:5" x14ac:dyDescent="0.25">
      <c r="A5" s="168" t="str">
        <f>'01Portada'!A27</f>
        <v>Descripción breve del alcance</v>
      </c>
      <c r="B5" s="169">
        <f>'01Portada'!B27</f>
        <v>0</v>
      </c>
      <c r="C5" s="169"/>
      <c r="D5" s="169" t="s">
        <v>52</v>
      </c>
      <c r="E5" s="170"/>
    </row>
    <row r="6" spans="1:5" x14ac:dyDescent="0.25">
      <c r="A6" s="168"/>
      <c r="B6" s="169"/>
      <c r="C6" s="169"/>
      <c r="D6" s="169"/>
      <c r="E6" s="170"/>
    </row>
    <row r="7" spans="1:5" ht="12" customHeight="1" x14ac:dyDescent="0.25">
      <c r="A7" s="154"/>
      <c r="B7" s="155"/>
      <c r="C7" s="155"/>
      <c r="D7" s="154"/>
      <c r="E7" s="156"/>
    </row>
    <row r="8" spans="1:5" ht="13.2" customHeight="1" x14ac:dyDescent="0.25">
      <c r="A8" s="157"/>
      <c r="B8" s="158"/>
      <c r="C8" s="158"/>
      <c r="D8" s="158"/>
      <c r="E8" s="159"/>
    </row>
    <row r="9" spans="1:5" x14ac:dyDescent="0.25">
      <c r="A9" s="160"/>
      <c r="B9" s="161"/>
      <c r="C9" s="161"/>
      <c r="D9" s="161"/>
      <c r="E9" s="162"/>
    </row>
    <row r="10" spans="1:5" x14ac:dyDescent="0.25">
      <c r="A10" s="160"/>
      <c r="B10" s="161"/>
      <c r="C10" s="161"/>
      <c r="D10" s="161"/>
      <c r="E10" s="162"/>
    </row>
    <row r="11" spans="1:5" x14ac:dyDescent="0.25">
      <c r="A11" s="160"/>
      <c r="B11" s="161"/>
      <c r="C11" s="161"/>
      <c r="D11" s="161"/>
      <c r="E11" s="162"/>
    </row>
    <row r="12" spans="1:5" x14ac:dyDescent="0.25">
      <c r="A12" s="160"/>
      <c r="B12" s="161"/>
      <c r="C12" s="161"/>
      <c r="D12" s="161"/>
      <c r="E12" s="162"/>
    </row>
    <row r="13" spans="1:5" x14ac:dyDescent="0.25">
      <c r="A13" s="160"/>
      <c r="B13" s="161"/>
      <c r="C13" s="161"/>
      <c r="D13" s="161"/>
      <c r="E13" s="162"/>
    </row>
    <row r="14" spans="1:5" x14ac:dyDescent="0.25">
      <c r="A14" s="160"/>
      <c r="B14" s="161"/>
      <c r="C14" s="161"/>
      <c r="D14" s="161"/>
      <c r="E14" s="162"/>
    </row>
    <row r="15" spans="1:5" x14ac:dyDescent="0.25">
      <c r="A15" s="160"/>
      <c r="B15" s="161"/>
      <c r="C15" s="161"/>
      <c r="D15" s="161"/>
      <c r="E15" s="162"/>
    </row>
    <row r="16" spans="1:5" x14ac:dyDescent="0.25">
      <c r="A16" s="160"/>
      <c r="B16" s="161"/>
      <c r="C16" s="161"/>
      <c r="D16" s="161"/>
      <c r="E16" s="162"/>
    </row>
    <row r="17" spans="1:5" x14ac:dyDescent="0.25">
      <c r="A17" s="160"/>
      <c r="B17" s="161"/>
      <c r="C17" s="161"/>
      <c r="D17" s="161"/>
      <c r="E17" s="162"/>
    </row>
    <row r="18" spans="1:5" x14ac:dyDescent="0.25">
      <c r="A18" s="160"/>
      <c r="B18" s="161"/>
      <c r="C18" s="161"/>
      <c r="D18" s="161"/>
      <c r="E18" s="162"/>
    </row>
    <row r="19" spans="1:5" x14ac:dyDescent="0.25">
      <c r="A19" s="160"/>
      <c r="B19" s="161"/>
      <c r="C19" s="161"/>
      <c r="D19" s="161"/>
      <c r="E19" s="162"/>
    </row>
    <row r="20" spans="1:5" x14ac:dyDescent="0.25">
      <c r="A20" s="160"/>
      <c r="B20" s="161"/>
      <c r="C20" s="161"/>
      <c r="D20" s="161"/>
      <c r="E20" s="162"/>
    </row>
    <row r="21" spans="1:5" x14ac:dyDescent="0.25">
      <c r="A21" s="160"/>
      <c r="B21" s="161"/>
      <c r="C21" s="161"/>
      <c r="D21" s="161"/>
      <c r="E21" s="162"/>
    </row>
    <row r="22" spans="1:5" x14ac:dyDescent="0.25">
      <c r="A22" s="160"/>
      <c r="B22" s="161"/>
      <c r="C22" s="161"/>
      <c r="D22" s="161"/>
      <c r="E22" s="162"/>
    </row>
    <row r="23" spans="1:5" x14ac:dyDescent="0.25">
      <c r="A23" s="160"/>
      <c r="B23" s="161"/>
      <c r="C23" s="161"/>
      <c r="D23" s="161"/>
      <c r="E23" s="162"/>
    </row>
    <row r="24" spans="1:5" x14ac:dyDescent="0.25">
      <c r="A24" s="160"/>
      <c r="B24" s="161"/>
      <c r="C24" s="161"/>
      <c r="D24" s="161"/>
      <c r="E24" s="162"/>
    </row>
    <row r="25" spans="1:5" x14ac:dyDescent="0.25">
      <c r="A25" s="160"/>
      <c r="B25" s="161"/>
      <c r="C25" s="161"/>
      <c r="D25" s="161"/>
      <c r="E25" s="162"/>
    </row>
    <row r="26" spans="1:5" ht="88.2" customHeight="1" x14ac:dyDescent="0.25">
      <c r="A26" s="163"/>
      <c r="B26" s="164"/>
      <c r="C26" s="164"/>
      <c r="D26" s="164"/>
      <c r="E26" s="165"/>
    </row>
    <row r="27" spans="1:5" x14ac:dyDescent="0.25">
      <c r="A27" s="18" t="s">
        <v>48</v>
      </c>
      <c r="B27" s="141" t="s">
        <v>49</v>
      </c>
      <c r="C27" s="141"/>
      <c r="D27" s="141"/>
      <c r="E27" s="19" t="s">
        <v>23</v>
      </c>
    </row>
    <row r="28" spans="1:5" x14ac:dyDescent="0.25">
      <c r="A28" s="9" t="str">
        <f>'01Portada'!A33</f>
        <v>Planeador Ecopetrol</v>
      </c>
      <c r="B28" s="135">
        <f>'01Portada'!B33</f>
        <v>0</v>
      </c>
      <c r="C28" s="142"/>
      <c r="D28" s="136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38" t="str">
        <f>'01Portada'!B36</f>
        <v>N/A</v>
      </c>
      <c r="C29" s="139"/>
      <c r="D29" s="140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38">
        <f>'01Portada'!B38</f>
        <v>0</v>
      </c>
      <c r="C30" s="139"/>
      <c r="D30" s="140"/>
      <c r="E30" s="22"/>
    </row>
  </sheetData>
  <sheetProtection insertRows="0" deleteRows="0"/>
  <mergeCells count="12">
    <mergeCell ref="C1:D1"/>
    <mergeCell ref="C2:D2"/>
    <mergeCell ref="C3:D3"/>
    <mergeCell ref="C4:D4"/>
    <mergeCell ref="A5:A6"/>
    <mergeCell ref="B5:E6"/>
    <mergeCell ref="B30:D30"/>
    <mergeCell ref="A7:E7"/>
    <mergeCell ref="A8:E26"/>
    <mergeCell ref="B27:D27"/>
    <mergeCell ref="B28:D28"/>
    <mergeCell ref="B29:D29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topLeftCell="A10" zoomScale="92" zoomScaleNormal="70" zoomScaleSheetLayoutView="92" workbookViewId="0">
      <selection activeCell="O22" sqref="O2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234" t="s">
        <v>2</v>
      </c>
      <c r="C1" s="235"/>
      <c r="D1" s="240" t="s">
        <v>85</v>
      </c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2"/>
    </row>
    <row r="2" spans="2:18" x14ac:dyDescent="0.3">
      <c r="B2" s="236"/>
      <c r="C2" s="237"/>
      <c r="D2" s="243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5"/>
    </row>
    <row r="3" spans="2:18" ht="33.75" customHeight="1" x14ac:dyDescent="0.3">
      <c r="B3" s="236"/>
      <c r="C3" s="237"/>
      <c r="D3" s="246" t="s">
        <v>86</v>
      </c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8"/>
    </row>
    <row r="4" spans="2:18" ht="18" customHeight="1" x14ac:dyDescent="0.3">
      <c r="B4" s="236"/>
      <c r="C4" s="237"/>
      <c r="D4" s="249" t="s">
        <v>87</v>
      </c>
      <c r="E4" s="250"/>
      <c r="F4" s="250"/>
      <c r="G4" s="251"/>
      <c r="H4" s="252" t="s">
        <v>88</v>
      </c>
      <c r="I4" s="253"/>
      <c r="J4" s="253"/>
      <c r="K4" s="253"/>
      <c r="L4" s="253"/>
      <c r="M4" s="253"/>
      <c r="N4" s="253"/>
      <c r="O4" s="254"/>
      <c r="P4" s="255" t="s">
        <v>89</v>
      </c>
      <c r="Q4" s="255"/>
      <c r="R4" s="256"/>
    </row>
    <row r="5" spans="2:18" ht="36.75" customHeight="1" x14ac:dyDescent="0.3">
      <c r="B5" s="238"/>
      <c r="C5" s="239"/>
      <c r="D5" s="257" t="s">
        <v>90</v>
      </c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9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222" t="s">
        <v>3</v>
      </c>
      <c r="C7" s="260"/>
      <c r="D7" s="31"/>
      <c r="E7" s="31"/>
      <c r="F7" s="261"/>
      <c r="G7" s="262"/>
      <c r="H7" s="31" t="s">
        <v>64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222" t="s">
        <v>4</v>
      </c>
      <c r="C8" s="223"/>
      <c r="D8" s="224"/>
      <c r="E8" s="224"/>
      <c r="F8" s="224"/>
      <c r="G8" s="224"/>
      <c r="H8" s="224"/>
      <c r="I8" s="224"/>
      <c r="J8" s="263" t="s">
        <v>65</v>
      </c>
      <c r="K8" s="263"/>
      <c r="L8" s="263"/>
      <c r="M8" s="263"/>
      <c r="N8" s="232"/>
      <c r="O8" s="232"/>
      <c r="P8" s="232"/>
      <c r="Q8" s="232"/>
      <c r="R8" s="233"/>
    </row>
    <row r="9" spans="2:18" ht="28.5" customHeight="1" x14ac:dyDescent="0.3">
      <c r="B9" s="222" t="s">
        <v>5</v>
      </c>
      <c r="C9" s="223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5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26" t="s">
        <v>6</v>
      </c>
      <c r="C11" s="227"/>
      <c r="D11" s="227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227"/>
      <c r="R11" s="228"/>
    </row>
    <row r="12" spans="2:18" ht="17.25" customHeight="1" x14ac:dyDescent="0.3">
      <c r="B12" s="74" t="s">
        <v>7</v>
      </c>
      <c r="C12" s="75"/>
      <c r="D12" s="195">
        <v>3</v>
      </c>
      <c r="E12" s="229"/>
      <c r="F12" s="76" t="s">
        <v>8</v>
      </c>
      <c r="G12" s="230" t="s">
        <v>9</v>
      </c>
      <c r="H12" s="231"/>
      <c r="I12" s="231"/>
      <c r="J12" s="231"/>
      <c r="K12" s="231"/>
      <c r="L12" s="231"/>
      <c r="M12" s="231"/>
      <c r="N12" s="231"/>
      <c r="O12" s="231"/>
      <c r="P12" s="195">
        <v>6</v>
      </c>
      <c r="Q12" s="196"/>
      <c r="R12" s="77" t="s">
        <v>8</v>
      </c>
    </row>
    <row r="13" spans="2:18" ht="16.5" customHeight="1" x14ac:dyDescent="0.3">
      <c r="B13" s="74" t="s">
        <v>10</v>
      </c>
      <c r="C13" s="75"/>
      <c r="D13" s="195" t="s">
        <v>91</v>
      </c>
      <c r="E13" s="196"/>
      <c r="F13" s="76" t="s">
        <v>8</v>
      </c>
      <c r="G13" s="195" t="s">
        <v>11</v>
      </c>
      <c r="H13" s="210"/>
      <c r="I13" s="210"/>
      <c r="J13" s="210"/>
      <c r="K13" s="210"/>
      <c r="L13" s="210"/>
      <c r="M13" s="210"/>
      <c r="N13" s="210"/>
      <c r="O13" s="211"/>
      <c r="P13" s="212">
        <f>D14*D15*P12</f>
        <v>240</v>
      </c>
      <c r="Q13" s="213"/>
      <c r="R13" s="77"/>
    </row>
    <row r="14" spans="2:18" ht="16.5" customHeight="1" x14ac:dyDescent="0.3">
      <c r="B14" s="74" t="s">
        <v>12</v>
      </c>
      <c r="C14" s="75"/>
      <c r="D14" s="195">
        <v>8</v>
      </c>
      <c r="E14" s="196"/>
      <c r="F14" s="76" t="s">
        <v>8</v>
      </c>
      <c r="G14" s="214" t="s">
        <v>13</v>
      </c>
      <c r="H14" s="214"/>
      <c r="I14" s="214"/>
      <c r="J14" s="214"/>
      <c r="K14" s="214"/>
      <c r="L14" s="214"/>
      <c r="M14" s="214"/>
      <c r="N14" s="214"/>
      <c r="O14" s="215"/>
      <c r="P14" s="218" t="s">
        <v>92</v>
      </c>
      <c r="Q14" s="219"/>
      <c r="R14" s="193" t="s">
        <v>8</v>
      </c>
    </row>
    <row r="15" spans="2:18" ht="18" customHeight="1" x14ac:dyDescent="0.3">
      <c r="B15" s="74" t="s">
        <v>14</v>
      </c>
      <c r="C15" s="75"/>
      <c r="D15" s="195">
        <v>5</v>
      </c>
      <c r="E15" s="196"/>
      <c r="F15" s="76" t="s">
        <v>8</v>
      </c>
      <c r="G15" s="216"/>
      <c r="H15" s="216"/>
      <c r="I15" s="216"/>
      <c r="J15" s="216"/>
      <c r="K15" s="216"/>
      <c r="L15" s="216"/>
      <c r="M15" s="216"/>
      <c r="N15" s="216"/>
      <c r="O15" s="217"/>
      <c r="P15" s="220"/>
      <c r="Q15" s="221"/>
      <c r="R15" s="194"/>
    </row>
    <row r="16" spans="2:18" s="33" customFormat="1" ht="11.25" customHeight="1" x14ac:dyDescent="0.3">
      <c r="B16" s="197" t="s">
        <v>15</v>
      </c>
      <c r="C16" s="198" t="s">
        <v>16</v>
      </c>
      <c r="D16" s="185" t="s">
        <v>17</v>
      </c>
      <c r="E16" s="198" t="s">
        <v>18</v>
      </c>
      <c r="F16" s="199" t="s">
        <v>19</v>
      </c>
      <c r="G16" s="200"/>
      <c r="H16" s="198" t="s">
        <v>20</v>
      </c>
      <c r="I16" s="198"/>
      <c r="J16" s="198"/>
      <c r="K16" s="198"/>
      <c r="L16" s="198"/>
      <c r="M16" s="198" t="s">
        <v>21</v>
      </c>
      <c r="N16" s="198"/>
      <c r="O16" s="198"/>
      <c r="P16" s="198"/>
      <c r="Q16" s="199"/>
      <c r="R16" s="205"/>
    </row>
    <row r="17" spans="2:18" s="34" customFormat="1" ht="12.75" customHeight="1" x14ac:dyDescent="0.3">
      <c r="B17" s="197"/>
      <c r="C17" s="198"/>
      <c r="D17" s="185"/>
      <c r="E17" s="198"/>
      <c r="F17" s="201"/>
      <c r="G17" s="202"/>
      <c r="H17" s="198" t="s">
        <v>22</v>
      </c>
      <c r="I17" s="198"/>
      <c r="J17" s="198"/>
      <c r="K17" s="198"/>
      <c r="L17" s="198" t="s">
        <v>23</v>
      </c>
      <c r="M17" s="198" t="s">
        <v>22</v>
      </c>
      <c r="N17" s="198"/>
      <c r="O17" s="198"/>
      <c r="P17" s="206"/>
      <c r="Q17" s="199" t="s">
        <v>23</v>
      </c>
      <c r="R17" s="207"/>
    </row>
    <row r="18" spans="2:18" ht="13.5" customHeight="1" x14ac:dyDescent="0.3">
      <c r="B18" s="197"/>
      <c r="C18" s="198"/>
      <c r="D18" s="185"/>
      <c r="E18" s="198"/>
      <c r="F18" s="201"/>
      <c r="G18" s="202"/>
      <c r="H18" s="185" t="s">
        <v>24</v>
      </c>
      <c r="I18" s="185"/>
      <c r="J18" s="185" t="s">
        <v>25</v>
      </c>
      <c r="K18" s="185"/>
      <c r="L18" s="198"/>
      <c r="M18" s="185" t="s">
        <v>24</v>
      </c>
      <c r="N18" s="185"/>
      <c r="O18" s="185" t="s">
        <v>25</v>
      </c>
      <c r="P18" s="186"/>
      <c r="Q18" s="201"/>
      <c r="R18" s="208"/>
    </row>
    <row r="19" spans="2:18" ht="10.5" customHeight="1" x14ac:dyDescent="0.3">
      <c r="B19" s="197"/>
      <c r="C19" s="198"/>
      <c r="D19" s="185"/>
      <c r="E19" s="198"/>
      <c r="F19" s="203"/>
      <c r="G19" s="204"/>
      <c r="H19" s="78" t="s">
        <v>26</v>
      </c>
      <c r="I19" s="78" t="s">
        <v>27</v>
      </c>
      <c r="J19" s="78" t="s">
        <v>26</v>
      </c>
      <c r="K19" s="78" t="s">
        <v>28</v>
      </c>
      <c r="L19" s="198"/>
      <c r="M19" s="78" t="s">
        <v>26</v>
      </c>
      <c r="N19" s="78" t="s">
        <v>27</v>
      </c>
      <c r="O19" s="78" t="s">
        <v>26</v>
      </c>
      <c r="P19" s="78" t="s">
        <v>28</v>
      </c>
      <c r="Q19" s="203"/>
      <c r="R19" s="209"/>
    </row>
    <row r="20" spans="2:18" ht="24.75" customHeight="1" x14ac:dyDescent="0.3">
      <c r="B20" s="79"/>
      <c r="C20" s="80"/>
      <c r="D20" s="81"/>
      <c r="E20" s="81"/>
      <c r="F20" s="190"/>
      <c r="G20" s="191"/>
      <c r="H20" s="82"/>
      <c r="I20" s="82"/>
      <c r="J20" s="80"/>
      <c r="K20" s="83"/>
      <c r="L20" s="35"/>
      <c r="M20" s="84"/>
      <c r="N20" s="84"/>
      <c r="O20" s="84"/>
      <c r="P20" s="84"/>
      <c r="Q20" s="190"/>
      <c r="R20" s="192"/>
    </row>
    <row r="21" spans="2:18" ht="24.75" customHeight="1" x14ac:dyDescent="0.3">
      <c r="B21" s="79"/>
      <c r="C21" s="80"/>
      <c r="D21" s="81"/>
      <c r="E21" s="81"/>
      <c r="F21" s="190"/>
      <c r="G21" s="191"/>
      <c r="H21" s="80"/>
      <c r="I21" s="80"/>
      <c r="J21" s="80"/>
      <c r="K21" s="83"/>
      <c r="L21" s="36"/>
      <c r="M21" s="84"/>
      <c r="N21" s="84"/>
      <c r="O21" s="84"/>
      <c r="P21" s="84"/>
      <c r="Q21" s="190"/>
      <c r="R21" s="192"/>
    </row>
    <row r="22" spans="2:18" ht="24.75" customHeight="1" x14ac:dyDescent="0.3">
      <c r="B22" s="79"/>
      <c r="C22" s="80"/>
      <c r="D22" s="85"/>
      <c r="E22" s="81"/>
      <c r="F22" s="190"/>
      <c r="G22" s="191"/>
      <c r="H22" s="80"/>
      <c r="I22" s="80"/>
      <c r="J22" s="80"/>
      <c r="K22" s="83"/>
      <c r="L22" s="36"/>
      <c r="M22" s="84"/>
      <c r="N22" s="84"/>
      <c r="O22" s="84"/>
      <c r="P22" s="84"/>
      <c r="Q22" s="190"/>
      <c r="R22" s="192"/>
    </row>
    <row r="23" spans="2:18" ht="24.75" customHeight="1" x14ac:dyDescent="0.3">
      <c r="B23" s="79"/>
      <c r="C23" s="80"/>
      <c r="D23" s="85"/>
      <c r="E23" s="81"/>
      <c r="F23" s="190"/>
      <c r="G23" s="191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190"/>
      <c r="G24" s="191"/>
      <c r="H24" s="80"/>
      <c r="I24" s="80"/>
      <c r="J24" s="80"/>
      <c r="K24" s="83"/>
      <c r="L24" s="36"/>
      <c r="M24" s="84"/>
      <c r="N24" s="84"/>
      <c r="O24" s="84"/>
      <c r="P24" s="84"/>
      <c r="Q24" s="190"/>
      <c r="R24" s="192"/>
    </row>
    <row r="25" spans="2:18" ht="24.75" customHeight="1" x14ac:dyDescent="0.3">
      <c r="B25" s="79"/>
      <c r="C25" s="80"/>
      <c r="D25" s="85"/>
      <c r="E25" s="81"/>
      <c r="F25" s="190"/>
      <c r="G25" s="191"/>
      <c r="H25" s="80"/>
      <c r="I25" s="80"/>
      <c r="J25" s="80"/>
      <c r="K25" s="83"/>
      <c r="L25" s="36"/>
      <c r="M25" s="84"/>
      <c r="N25" s="84"/>
      <c r="O25" s="84"/>
      <c r="P25" s="84"/>
      <c r="Q25" s="190"/>
      <c r="R25" s="192"/>
    </row>
    <row r="26" spans="2:18" ht="24.75" customHeight="1" thickBot="1" x14ac:dyDescent="0.35">
      <c r="B26" s="88"/>
      <c r="C26" s="89"/>
      <c r="D26" s="85"/>
      <c r="E26" s="90"/>
      <c r="F26" s="187"/>
      <c r="G26" s="188"/>
      <c r="H26" s="91"/>
      <c r="I26" s="91"/>
      <c r="J26" s="91"/>
      <c r="K26" s="92"/>
      <c r="L26" s="93"/>
      <c r="M26" s="94"/>
      <c r="N26" s="94"/>
      <c r="O26" s="94"/>
      <c r="P26" s="94"/>
      <c r="Q26" s="187"/>
      <c r="R26" s="189"/>
    </row>
    <row r="27" spans="2:18" ht="22.5" customHeight="1" x14ac:dyDescent="0.3">
      <c r="B27" s="175" t="s">
        <v>29</v>
      </c>
      <c r="C27" s="176"/>
      <c r="D27" s="176"/>
      <c r="E27" s="176"/>
      <c r="F27" s="176"/>
      <c r="G27" s="176"/>
      <c r="H27" s="176"/>
      <c r="I27" s="176"/>
      <c r="J27" s="177"/>
      <c r="K27" s="178" t="s">
        <v>30</v>
      </c>
      <c r="L27" s="178"/>
      <c r="M27" s="178"/>
      <c r="N27" s="178"/>
      <c r="O27" s="178"/>
      <c r="P27" s="178"/>
      <c r="Q27" s="178"/>
      <c r="R27" s="179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93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180"/>
      <c r="L33" s="181"/>
      <c r="M33" s="181"/>
      <c r="N33" s="181"/>
      <c r="O33" s="181"/>
      <c r="P33" s="181"/>
      <c r="Q33" s="181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94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182"/>
      <c r="L38" s="183"/>
      <c r="M38" s="183"/>
      <c r="N38" s="183"/>
      <c r="O38" s="183"/>
      <c r="P38" s="183"/>
      <c r="Q38" s="183"/>
      <c r="R38" s="184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171"/>
      <c r="N41" s="171"/>
      <c r="O41" s="171"/>
      <c r="P41" s="171"/>
      <c r="Q41" s="171"/>
      <c r="R41" s="172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171"/>
      <c r="N42" s="171"/>
      <c r="O42" s="171"/>
      <c r="P42" s="171"/>
      <c r="Q42" s="171"/>
      <c r="R42" s="172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171"/>
      <c r="N43" s="171"/>
      <c r="O43" s="171"/>
      <c r="P43" s="171"/>
      <c r="Q43" s="171"/>
      <c r="R43" s="172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173"/>
      <c r="N44" s="173"/>
      <c r="O44" s="173"/>
      <c r="P44" s="173"/>
      <c r="Q44" s="173"/>
      <c r="R44" s="174"/>
    </row>
    <row r="45" spans="2:18" ht="48" customHeight="1" thickBot="1" x14ac:dyDescent="0.35">
      <c r="B45" s="37" t="s">
        <v>31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32</v>
      </c>
      <c r="M45" s="38"/>
      <c r="N45" s="38"/>
      <c r="O45" s="37"/>
      <c r="P45" s="38"/>
      <c r="Q45" s="39"/>
      <c r="R45" s="40"/>
    </row>
  </sheetData>
  <dataConsolidate/>
  <mergeCells count="63"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  <mergeCell ref="B9:C9"/>
    <mergeCell ref="D9:R9"/>
    <mergeCell ref="B11:R11"/>
    <mergeCell ref="D12:E12"/>
    <mergeCell ref="G12:O12"/>
    <mergeCell ref="P12:Q12"/>
    <mergeCell ref="D13:E13"/>
    <mergeCell ref="G13:O13"/>
    <mergeCell ref="P13:Q13"/>
    <mergeCell ref="D14:E14"/>
    <mergeCell ref="G14:O15"/>
    <mergeCell ref="P14:Q1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M43:R43"/>
    <mergeCell ref="M44:R44"/>
    <mergeCell ref="B27:J27"/>
    <mergeCell ref="K27:R27"/>
    <mergeCell ref="K33:Q33"/>
    <mergeCell ref="K38:R38"/>
    <mergeCell ref="M41:R41"/>
    <mergeCell ref="M42:R42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zoomScaleNormal="100" zoomScaleSheetLayoutView="100" workbookViewId="0">
      <selection activeCell="G15" sqref="G15"/>
    </sheetView>
  </sheetViews>
  <sheetFormatPr baseColWidth="10" defaultColWidth="11.44140625" defaultRowHeight="14.4" x14ac:dyDescent="0.3"/>
  <cols>
    <col min="1" max="1" width="11.44140625" style="110"/>
    <col min="2" max="2" width="11.7773437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style="118" customWidth="1"/>
    <col min="8" max="8" width="45.5546875" style="111" customWidth="1"/>
    <col min="9" max="16384" width="11.44140625" style="110"/>
  </cols>
  <sheetData>
    <row r="1" spans="1:10" customFormat="1" x14ac:dyDescent="0.3">
      <c r="A1" s="267" t="str">
        <f>'01Portada'!A1</f>
        <v>Refinería:</v>
      </c>
      <c r="B1" s="267"/>
      <c r="C1" s="268">
        <f>'01Portada'!B1</f>
        <v>0</v>
      </c>
      <c r="D1" s="268"/>
      <c r="E1" s="268"/>
      <c r="F1" s="268"/>
      <c r="G1" s="267" t="str">
        <f>'01Portada'!A5</f>
        <v>Orden de Mantenimiento:</v>
      </c>
      <c r="H1" s="267"/>
      <c r="I1" s="268">
        <f>'01Portada'!B5</f>
        <v>0</v>
      </c>
      <c r="J1" s="268"/>
    </row>
    <row r="2" spans="1:10" customFormat="1" x14ac:dyDescent="0.3">
      <c r="A2" s="267" t="str">
        <f>'01Portada'!A19</f>
        <v>Planta</v>
      </c>
      <c r="B2" s="267"/>
      <c r="C2" s="268">
        <f>'01Portada'!B19</f>
        <v>0</v>
      </c>
      <c r="D2" s="268"/>
      <c r="E2" s="268"/>
      <c r="F2" s="268"/>
      <c r="G2" s="267" t="str">
        <f>'01Portada'!A21</f>
        <v>TAG Equipo</v>
      </c>
      <c r="H2" s="267"/>
      <c r="I2" s="269">
        <f>'01Portada'!B21</f>
        <v>0</v>
      </c>
      <c r="J2" s="269"/>
    </row>
    <row r="3" spans="1:10" customFormat="1" ht="15.75" customHeight="1" x14ac:dyDescent="0.3">
      <c r="A3" s="107" t="str">
        <f>'01Portada'!A11</f>
        <v>Dependencia responsable</v>
      </c>
      <c r="B3" s="107"/>
      <c r="C3" s="268">
        <f>'01Portada'!B11</f>
        <v>0</v>
      </c>
      <c r="D3" s="268"/>
      <c r="E3" s="268"/>
      <c r="F3" s="268"/>
      <c r="G3" s="267" t="str">
        <f>'01Portada'!A33</f>
        <v>Planeador Ecopetrol</v>
      </c>
      <c r="H3" s="267"/>
      <c r="I3" s="270">
        <f>'01Portada'!B33</f>
        <v>0</v>
      </c>
      <c r="J3" s="270"/>
    </row>
    <row r="4" spans="1:10" customFormat="1" ht="15.75" customHeight="1" x14ac:dyDescent="0.3">
      <c r="A4" s="271" t="s">
        <v>38</v>
      </c>
      <c r="B4" s="271"/>
      <c r="C4" s="271"/>
      <c r="D4" s="271"/>
      <c r="E4" s="271"/>
      <c r="F4" s="271"/>
      <c r="G4" s="272">
        <f>'01Portada'!B27</f>
        <v>0</v>
      </c>
      <c r="H4" s="272"/>
      <c r="I4" s="272"/>
      <c r="J4" s="272"/>
    </row>
    <row r="5" spans="1:10" customFormat="1" ht="15.75" customHeight="1" x14ac:dyDescent="0.3">
      <c r="A5" s="264" t="s">
        <v>95</v>
      </c>
      <c r="B5" s="265"/>
      <c r="C5" s="265"/>
      <c r="D5" s="265"/>
      <c r="E5" s="265"/>
      <c r="F5" s="265"/>
      <c r="G5" s="265"/>
      <c r="H5" s="265"/>
      <c r="I5" s="265"/>
      <c r="J5" s="266"/>
    </row>
    <row r="6" spans="1:10" ht="20.399999999999999" x14ac:dyDescent="0.3">
      <c r="A6" s="108" t="s">
        <v>115</v>
      </c>
      <c r="B6" s="108" t="s">
        <v>116</v>
      </c>
      <c r="C6" s="108" t="s">
        <v>117</v>
      </c>
      <c r="D6" s="108" t="s">
        <v>119</v>
      </c>
      <c r="E6" s="108" t="s">
        <v>118</v>
      </c>
      <c r="F6" s="108" t="s">
        <v>96</v>
      </c>
      <c r="G6" s="117" t="s">
        <v>97</v>
      </c>
      <c r="H6" s="109" t="s">
        <v>98</v>
      </c>
      <c r="I6" s="108" t="s">
        <v>100</v>
      </c>
      <c r="J6" s="108" t="s">
        <v>99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tabSelected="1" view="pageBreakPreview" zoomScale="120" zoomScaleNormal="100" zoomScaleSheetLayoutView="120" workbookViewId="0">
      <selection activeCell="B16" sqref="B16:D16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6" t="str">
        <f>'01Portada'!A27</f>
        <v>Descripción breve del alcance</v>
      </c>
      <c r="B5" s="277">
        <f>'01Portada'!B27</f>
        <v>0</v>
      </c>
      <c r="C5" s="277"/>
      <c r="D5" s="278"/>
    </row>
    <row r="6" spans="1:4" ht="10.5" customHeight="1" x14ac:dyDescent="0.25">
      <c r="A6" s="276"/>
      <c r="B6" s="277"/>
      <c r="C6" s="277"/>
      <c r="D6" s="278"/>
    </row>
    <row r="7" spans="1:4" ht="12" customHeight="1" x14ac:dyDescent="0.25">
      <c r="A7" s="154" t="s">
        <v>50</v>
      </c>
      <c r="B7" s="155"/>
      <c r="C7" s="155"/>
      <c r="D7" s="279"/>
    </row>
    <row r="8" spans="1:4" ht="15.75" customHeight="1" x14ac:dyDescent="0.25">
      <c r="A8" s="17" t="s">
        <v>101</v>
      </c>
      <c r="B8" s="280" t="s">
        <v>51</v>
      </c>
      <c r="C8" s="281"/>
      <c r="D8" s="282"/>
    </row>
    <row r="9" spans="1:4" ht="15.75" customHeight="1" x14ac:dyDescent="0.25">
      <c r="A9" s="131"/>
      <c r="B9" s="283" t="s">
        <v>63</v>
      </c>
      <c r="C9" s="284"/>
      <c r="D9" s="285"/>
    </row>
    <row r="10" spans="1:4" ht="15.75" customHeight="1" x14ac:dyDescent="0.25">
      <c r="A10" s="132"/>
      <c r="B10" s="283" t="s">
        <v>102</v>
      </c>
      <c r="C10" s="284"/>
      <c r="D10" s="285"/>
    </row>
    <row r="11" spans="1:4" ht="15.75" customHeight="1" x14ac:dyDescent="0.25">
      <c r="A11" s="132"/>
      <c r="B11" s="283" t="s">
        <v>103</v>
      </c>
      <c r="C11" s="284"/>
      <c r="D11" s="285"/>
    </row>
    <row r="12" spans="1:4" ht="15.75" customHeight="1" x14ac:dyDescent="0.25">
      <c r="A12" s="112"/>
      <c r="B12" s="283" t="s">
        <v>113</v>
      </c>
      <c r="C12" s="284"/>
      <c r="D12" s="285"/>
    </row>
    <row r="13" spans="1:4" ht="15.75" customHeight="1" x14ac:dyDescent="0.25">
      <c r="A13" s="112"/>
      <c r="B13" s="283"/>
      <c r="C13" s="284"/>
      <c r="D13" s="285"/>
    </row>
    <row r="14" spans="1:4" ht="15.75" customHeight="1" x14ac:dyDescent="0.25">
      <c r="A14" s="112"/>
      <c r="B14" s="283"/>
      <c r="C14" s="284"/>
      <c r="D14" s="285"/>
    </row>
    <row r="15" spans="1:4" ht="15.75" customHeight="1" x14ac:dyDescent="0.25">
      <c r="A15" s="112"/>
      <c r="B15" s="273"/>
      <c r="C15" s="274"/>
      <c r="D15" s="275"/>
    </row>
    <row r="16" spans="1:4" ht="15.75" customHeight="1" x14ac:dyDescent="0.25">
      <c r="A16" s="112"/>
      <c r="B16" s="273"/>
      <c r="C16" s="274"/>
      <c r="D16" s="275"/>
    </row>
    <row r="17" spans="1:4" ht="15.75" customHeight="1" x14ac:dyDescent="0.25">
      <c r="A17" s="112"/>
      <c r="B17" s="273"/>
      <c r="C17" s="274"/>
      <c r="D17" s="275"/>
    </row>
    <row r="18" spans="1:4" ht="15.75" customHeight="1" x14ac:dyDescent="0.25">
      <c r="A18" s="112"/>
      <c r="B18" s="273"/>
      <c r="C18" s="274"/>
      <c r="D18" s="275"/>
    </row>
    <row r="19" spans="1:4" ht="15.75" customHeight="1" x14ac:dyDescent="0.25">
      <c r="A19" s="113"/>
      <c r="B19" s="273"/>
      <c r="C19" s="274"/>
      <c r="D19" s="275"/>
    </row>
    <row r="20" spans="1:4" x14ac:dyDescent="0.25">
      <c r="A20" s="18" t="s">
        <v>48</v>
      </c>
      <c r="B20" s="141" t="s">
        <v>49</v>
      </c>
      <c r="C20" s="141"/>
      <c r="D20" s="19" t="s">
        <v>23</v>
      </c>
    </row>
    <row r="21" spans="1:4" x14ac:dyDescent="0.25">
      <c r="A21" s="9" t="str">
        <f>'01Portada'!A33</f>
        <v>Planeador Ecopetrol</v>
      </c>
      <c r="B21" s="135">
        <f>'01Portada'!B33</f>
        <v>0</v>
      </c>
      <c r="C21" s="142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38" t="str">
        <f>'01Portada'!B36</f>
        <v>N/A</v>
      </c>
      <c r="C22" s="139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38">
        <f>'01Portada'!B38</f>
        <v>0</v>
      </c>
      <c r="C23" s="139"/>
      <c r="D23" s="22"/>
    </row>
  </sheetData>
  <sheetProtection insertRows="0" deleteRows="0"/>
  <mergeCells count="19"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  <mergeCell ref="B22:C22"/>
    <mergeCell ref="B23:C23"/>
    <mergeCell ref="B16:D16"/>
    <mergeCell ref="B17:D17"/>
    <mergeCell ref="B18:D18"/>
    <mergeCell ref="B19:D19"/>
    <mergeCell ref="B20:C20"/>
    <mergeCell ref="B21:C21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305"/>
      <c r="B1" s="306"/>
      <c r="C1" s="306"/>
      <c r="D1" s="306"/>
      <c r="E1" s="307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67" t="str">
        <f>'01Portada'!A19</f>
        <v>Planta</v>
      </c>
      <c r="D2" s="167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67" t="str">
        <f>'01Portada'!A23</f>
        <v>Servicio del equipo</v>
      </c>
      <c r="D3" s="167"/>
      <c r="E3" s="120">
        <f>'01Portada'!B23</f>
        <v>0</v>
      </c>
    </row>
    <row r="4" spans="1:9" x14ac:dyDescent="0.25">
      <c r="A4" s="6" t="str">
        <f>'01Portada'!A5</f>
        <v>Orden de Mantenimiento:</v>
      </c>
      <c r="B4" s="119">
        <f>'01Portada'!B5</f>
        <v>0</v>
      </c>
      <c r="C4" s="167" t="str">
        <f>'01Portada'!A11</f>
        <v>Dependencia responsable</v>
      </c>
      <c r="D4" s="167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67" t="str">
        <f>'01Portada'!A25</f>
        <v>Sistema (donde pertenece el equipo)</v>
      </c>
      <c r="D5" s="167"/>
      <c r="E5" s="120">
        <f>'01Portada'!B25</f>
        <v>0</v>
      </c>
    </row>
    <row r="6" spans="1:9" x14ac:dyDescent="0.25">
      <c r="A6" s="168" t="str">
        <f>'01Portada'!A27</f>
        <v>Descripción breve del alcance</v>
      </c>
      <c r="B6" s="169">
        <f>'01Portada'!B27</f>
        <v>0</v>
      </c>
      <c r="C6" s="169"/>
      <c r="D6" s="169" t="s">
        <v>52</v>
      </c>
      <c r="E6" s="170"/>
      <c r="F6" s="55"/>
    </row>
    <row r="7" spans="1:9" ht="13.8" thickBot="1" x14ac:dyDescent="0.3">
      <c r="A7" s="168"/>
      <c r="B7" s="169"/>
      <c r="C7" s="169"/>
      <c r="D7" s="169"/>
      <c r="E7" s="170"/>
      <c r="F7" s="56"/>
    </row>
    <row r="8" spans="1:9" ht="12" customHeight="1" x14ac:dyDescent="0.25">
      <c r="A8" s="303" t="s">
        <v>53</v>
      </c>
      <c r="B8" s="279"/>
      <c r="C8" s="279"/>
      <c r="D8" s="279"/>
      <c r="E8" s="304"/>
      <c r="F8" s="115"/>
      <c r="H8" s="300"/>
      <c r="I8" s="300"/>
    </row>
    <row r="9" spans="1:9" ht="13.5" customHeight="1" thickBot="1" x14ac:dyDescent="0.3">
      <c r="A9" s="20" t="s">
        <v>54</v>
      </c>
      <c r="B9" s="301" t="s">
        <v>55</v>
      </c>
      <c r="C9" s="301"/>
      <c r="D9" s="301"/>
      <c r="E9" s="302"/>
      <c r="F9" s="59"/>
    </row>
    <row r="10" spans="1:9" ht="13.8" thickBot="1" x14ac:dyDescent="0.3">
      <c r="A10" s="286" t="s">
        <v>104</v>
      </c>
      <c r="B10" s="287"/>
      <c r="C10" s="287"/>
      <c r="D10" s="287"/>
      <c r="E10" s="288"/>
      <c r="F10" s="59"/>
    </row>
    <row r="11" spans="1:9" ht="13.8" thickBot="1" x14ac:dyDescent="0.3">
      <c r="A11" s="286"/>
      <c r="B11" s="287"/>
      <c r="C11" s="287"/>
      <c r="D11" s="287"/>
      <c r="E11" s="288"/>
      <c r="F11" s="59"/>
    </row>
    <row r="12" spans="1:9" ht="13.8" thickBot="1" x14ac:dyDescent="0.3">
      <c r="A12" s="286" t="s">
        <v>105</v>
      </c>
      <c r="B12" s="287"/>
      <c r="C12" s="287"/>
      <c r="D12" s="287"/>
      <c r="E12" s="288"/>
      <c r="F12" s="59"/>
    </row>
    <row r="13" spans="1:9" ht="13.8" thickBot="1" x14ac:dyDescent="0.3">
      <c r="A13" s="286"/>
      <c r="B13" s="287"/>
      <c r="C13" s="287"/>
      <c r="D13" s="287"/>
      <c r="E13" s="288"/>
      <c r="F13" s="59"/>
    </row>
    <row r="14" spans="1:9" ht="13.8" thickBot="1" x14ac:dyDescent="0.3">
      <c r="A14" s="286"/>
      <c r="B14" s="287"/>
      <c r="C14" s="287"/>
      <c r="D14" s="287"/>
      <c r="E14" s="288"/>
      <c r="F14" s="59"/>
    </row>
    <row r="15" spans="1:9" ht="13.8" thickBot="1" x14ac:dyDescent="0.3">
      <c r="A15" s="286"/>
      <c r="B15" s="287"/>
      <c r="C15" s="287"/>
      <c r="D15" s="287"/>
      <c r="E15" s="288"/>
      <c r="F15" s="59"/>
    </row>
    <row r="16" spans="1:9" ht="13.8" thickBot="1" x14ac:dyDescent="0.3">
      <c r="A16" s="286"/>
      <c r="B16" s="287"/>
      <c r="C16" s="287"/>
      <c r="D16" s="287"/>
      <c r="E16" s="288"/>
      <c r="F16" s="59"/>
    </row>
    <row r="17" spans="1:6" ht="13.8" thickBot="1" x14ac:dyDescent="0.3">
      <c r="A17" s="286"/>
      <c r="B17" s="287"/>
      <c r="C17" s="287"/>
      <c r="D17" s="287"/>
      <c r="E17" s="288"/>
      <c r="F17" s="59"/>
    </row>
    <row r="18" spans="1:6" ht="13.8" thickBot="1" x14ac:dyDescent="0.3">
      <c r="A18" s="286"/>
      <c r="B18" s="287"/>
      <c r="C18" s="287"/>
      <c r="D18" s="287"/>
      <c r="E18" s="288"/>
      <c r="F18" s="59"/>
    </row>
    <row r="19" spans="1:6" ht="14.25" customHeight="1" thickBot="1" x14ac:dyDescent="0.3">
      <c r="A19" s="286"/>
      <c r="B19" s="287"/>
      <c r="C19" s="287"/>
      <c r="D19" s="287"/>
      <c r="E19" s="288"/>
      <c r="F19" s="59"/>
    </row>
    <row r="20" spans="1:6" ht="13.8" thickBot="1" x14ac:dyDescent="0.3">
      <c r="A20" s="286"/>
      <c r="B20" s="287"/>
      <c r="C20" s="287"/>
      <c r="D20" s="287"/>
      <c r="E20" s="288"/>
      <c r="F20" s="59"/>
    </row>
    <row r="21" spans="1:6" ht="13.8" thickBot="1" x14ac:dyDescent="0.3">
      <c r="A21" s="286"/>
      <c r="B21" s="287"/>
      <c r="C21" s="287"/>
      <c r="D21" s="287"/>
      <c r="E21" s="288"/>
      <c r="F21" s="59"/>
    </row>
    <row r="22" spans="1:6" ht="13.8" thickBot="1" x14ac:dyDescent="0.3">
      <c r="A22" s="286"/>
      <c r="B22" s="287"/>
      <c r="C22" s="287"/>
      <c r="D22" s="287"/>
      <c r="E22" s="288"/>
      <c r="F22" s="59"/>
    </row>
    <row r="23" spans="1:6" ht="13.8" thickBot="1" x14ac:dyDescent="0.3">
      <c r="A23" s="286"/>
      <c r="B23" s="287"/>
      <c r="C23" s="287"/>
      <c r="D23" s="287"/>
      <c r="E23" s="288"/>
      <c r="F23" s="59"/>
    </row>
    <row r="24" spans="1:6" ht="13.8" thickBot="1" x14ac:dyDescent="0.3">
      <c r="A24" s="286"/>
      <c r="B24" s="287"/>
      <c r="C24" s="287"/>
      <c r="D24" s="287"/>
      <c r="E24" s="288"/>
      <c r="F24" s="59"/>
    </row>
    <row r="25" spans="1:6" ht="13.8" thickBot="1" x14ac:dyDescent="0.3">
      <c r="A25" s="286"/>
      <c r="B25" s="287"/>
      <c r="C25" s="287"/>
      <c r="D25" s="287"/>
      <c r="E25" s="288"/>
      <c r="F25" s="59"/>
    </row>
    <row r="26" spans="1:6" ht="25.5" customHeight="1" thickBot="1" x14ac:dyDescent="0.3">
      <c r="A26" s="290" t="s">
        <v>56</v>
      </c>
      <c r="B26" s="291"/>
      <c r="C26" s="291"/>
      <c r="D26" s="291"/>
      <c r="E26" s="292"/>
      <c r="F26" s="59"/>
    </row>
    <row r="27" spans="1:6" ht="13.8" thickBot="1" x14ac:dyDescent="0.3">
      <c r="A27" s="293"/>
      <c r="B27" s="294"/>
      <c r="C27" s="294"/>
      <c r="D27" s="294"/>
      <c r="E27" s="295"/>
      <c r="F27" s="59"/>
    </row>
    <row r="28" spans="1:6" ht="16.5" customHeight="1" thickBot="1" x14ac:dyDescent="0.3">
      <c r="A28" s="296"/>
      <c r="B28" s="297"/>
      <c r="C28" s="297"/>
      <c r="D28" s="297"/>
      <c r="E28" s="298"/>
      <c r="F28" s="59"/>
    </row>
    <row r="29" spans="1:6" ht="15.75" customHeight="1" thickBot="1" x14ac:dyDescent="0.3">
      <c r="A29" s="296"/>
      <c r="B29" s="297"/>
      <c r="C29" s="297"/>
      <c r="D29" s="297"/>
      <c r="E29" s="298"/>
      <c r="F29" s="59"/>
    </row>
    <row r="30" spans="1:6" ht="15.75" customHeight="1" thickBot="1" x14ac:dyDescent="0.3">
      <c r="A30" s="296"/>
      <c r="B30" s="297"/>
      <c r="C30" s="297"/>
      <c r="D30" s="297"/>
      <c r="E30" s="298"/>
      <c r="F30" s="59"/>
    </row>
    <row r="31" spans="1:6" ht="13.8" thickBot="1" x14ac:dyDescent="0.3">
      <c r="A31" s="296"/>
      <c r="B31" s="297"/>
      <c r="C31" s="297"/>
      <c r="D31" s="297"/>
      <c r="E31" s="298"/>
      <c r="F31" s="59"/>
    </row>
    <row r="32" spans="1:6" ht="13.8" thickBot="1" x14ac:dyDescent="0.3">
      <c r="A32" s="296"/>
      <c r="B32" s="297"/>
      <c r="C32" s="297"/>
      <c r="D32" s="297"/>
      <c r="E32" s="298"/>
      <c r="F32" s="59"/>
    </row>
    <row r="33" spans="1:6" ht="13.8" thickBot="1" x14ac:dyDescent="0.3">
      <c r="A33" s="296"/>
      <c r="B33" s="297"/>
      <c r="C33" s="297"/>
      <c r="D33" s="297"/>
      <c r="E33" s="298"/>
      <c r="F33" s="59"/>
    </row>
    <row r="34" spans="1:6" ht="13.8" thickBot="1" x14ac:dyDescent="0.3">
      <c r="A34" s="18" t="s">
        <v>48</v>
      </c>
      <c r="B34" s="141" t="s">
        <v>49</v>
      </c>
      <c r="C34" s="141"/>
      <c r="D34" s="141"/>
      <c r="E34" s="19" t="s">
        <v>23</v>
      </c>
      <c r="F34" s="52"/>
    </row>
    <row r="35" spans="1:6" ht="13.8" x14ac:dyDescent="0.25">
      <c r="A35" s="9" t="s">
        <v>40</v>
      </c>
      <c r="B35" s="299">
        <f>'01Portada'!B33</f>
        <v>0</v>
      </c>
      <c r="C35" s="299"/>
      <c r="D35" s="299"/>
      <c r="E35" s="10">
        <f>'01Portada'!B29</f>
        <v>0</v>
      </c>
      <c r="F35" s="60"/>
    </row>
    <row r="36" spans="1:6" ht="15.75" customHeight="1" x14ac:dyDescent="0.25">
      <c r="A36" s="9" t="s">
        <v>61</v>
      </c>
      <c r="B36" s="299" t="str">
        <f>'01Portada'!B36</f>
        <v>N/A</v>
      </c>
      <c r="C36" s="299"/>
      <c r="D36" s="299"/>
      <c r="E36" s="10">
        <f>'01Portada'!B29</f>
        <v>0</v>
      </c>
      <c r="F36" s="61"/>
    </row>
    <row r="37" spans="1:6" ht="13.8" thickBot="1" x14ac:dyDescent="0.3">
      <c r="A37" s="21" t="s">
        <v>62</v>
      </c>
      <c r="B37" s="289">
        <f>'01Portada'!B38</f>
        <v>0</v>
      </c>
      <c r="C37" s="289"/>
      <c r="D37" s="289"/>
      <c r="E37" s="22">
        <f>'01Portada'!B31</f>
        <v>0</v>
      </c>
    </row>
  </sheetData>
  <sheetProtection insertRows="0" deleteRows="0"/>
  <mergeCells count="32">
    <mergeCell ref="A6:A7"/>
    <mergeCell ref="B6:E7"/>
    <mergeCell ref="A8:E8"/>
    <mergeCell ref="A1:E1"/>
    <mergeCell ref="C2:D2"/>
    <mergeCell ref="C3:D3"/>
    <mergeCell ref="C4:D4"/>
    <mergeCell ref="C5:D5"/>
    <mergeCell ref="H8:I8"/>
    <mergeCell ref="B9:E9"/>
    <mergeCell ref="A10:A11"/>
    <mergeCell ref="B10:E11"/>
    <mergeCell ref="A14:A15"/>
    <mergeCell ref="B14:E15"/>
    <mergeCell ref="A12:A13"/>
    <mergeCell ref="B12:E13"/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9" sqref="D9"/>
    </sheetView>
  </sheetViews>
  <sheetFormatPr baseColWidth="10" defaultRowHeight="14.4" x14ac:dyDescent="0.3"/>
  <cols>
    <col min="2" max="2" width="68.33203125" bestFit="1" customWidth="1"/>
    <col min="4" max="4" width="10.2187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7" t="str">
        <f>'01Portada'!A5</f>
        <v>Orden de Mantenimiento:</v>
      </c>
      <c r="D1" s="267"/>
      <c r="E1" s="267"/>
      <c r="F1" s="268">
        <f>'01Portada'!B5</f>
        <v>0</v>
      </c>
      <c r="G1" s="268"/>
      <c r="H1" s="268"/>
    </row>
    <row r="2" spans="1:8" x14ac:dyDescent="0.3">
      <c r="A2" s="44" t="str">
        <f>'01Portada'!A19</f>
        <v>Planta</v>
      </c>
      <c r="B2" s="116">
        <f>'01Portada'!B19</f>
        <v>0</v>
      </c>
      <c r="C2" s="267" t="str">
        <f>'01Portada'!A21</f>
        <v>TAG Equipo</v>
      </c>
      <c r="D2" s="267"/>
      <c r="E2" s="267"/>
      <c r="F2" s="269">
        <f>'01Portada'!B21</f>
        <v>0</v>
      </c>
      <c r="G2" s="268"/>
      <c r="H2" s="268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7" t="str">
        <f>'01Portada'!A33</f>
        <v>Planeador Ecopetrol</v>
      </c>
      <c r="D3" s="267"/>
      <c r="E3" s="267"/>
      <c r="F3" s="312">
        <f>'01Portada'!B33</f>
        <v>0</v>
      </c>
      <c r="G3" s="313"/>
      <c r="H3" s="314"/>
    </row>
    <row r="4" spans="1:8" ht="15.75" customHeight="1" x14ac:dyDescent="0.3">
      <c r="A4" s="310" t="str">
        <f>'01Portada'!A27</f>
        <v>Descripción breve del alcance</v>
      </c>
      <c r="B4" s="310" t="s">
        <v>38</v>
      </c>
      <c r="C4" s="311">
        <f>'01Portada'!B27</f>
        <v>0</v>
      </c>
      <c r="D4" s="311"/>
      <c r="E4" s="311"/>
      <c r="F4" s="272"/>
      <c r="G4" s="272"/>
      <c r="H4" s="272"/>
    </row>
    <row r="5" spans="1:8" ht="15.75" customHeight="1" x14ac:dyDescent="0.3">
      <c r="A5" s="308" t="s">
        <v>110</v>
      </c>
      <c r="B5" s="309"/>
      <c r="C5" s="308" t="s">
        <v>122</v>
      </c>
      <c r="D5" s="309"/>
      <c r="E5" s="133"/>
      <c r="F5" s="315" t="s">
        <v>121</v>
      </c>
      <c r="G5" s="316"/>
      <c r="H5" s="133"/>
    </row>
    <row r="6" spans="1:8" ht="36" customHeight="1" x14ac:dyDescent="0.3">
      <c r="A6" s="43" t="s">
        <v>111</v>
      </c>
      <c r="B6" s="43" t="s">
        <v>112</v>
      </c>
      <c r="C6" s="134" t="s">
        <v>120</v>
      </c>
      <c r="D6" s="134" t="s">
        <v>106</v>
      </c>
      <c r="E6" s="134" t="s">
        <v>107</v>
      </c>
      <c r="F6" s="43" t="s">
        <v>108</v>
      </c>
      <c r="G6" s="43" t="s">
        <v>109</v>
      </c>
      <c r="H6" s="43" t="s">
        <v>66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66C578-A5DF-4AE2-A9ED-D4C05E9F0979}">
  <ds:schemaRefs>
    <ds:schemaRef ds:uri="http://schemas.openxmlformats.org/package/2006/metadata/core-properties"/>
    <ds:schemaRef ds:uri="e9167ecd-741c-402c-97ce-d0beb444a4ff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2b41422a-62f3-407e-b3a9-e1d45bb9365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Cristian Montenegro</cp:lastModifiedBy>
  <cp:lastPrinted>2022-04-08T20:07:42Z</cp:lastPrinted>
  <dcterms:created xsi:type="dcterms:W3CDTF">2019-07-02T12:31:45Z</dcterms:created>
  <dcterms:modified xsi:type="dcterms:W3CDTF">2022-04-13T15:16:03Z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