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521" documentId="14_{583F901E-6518-4FE1-B5B6-C6FB2C282051}" xr6:coauthVersionLast="47" xr6:coauthVersionMax="47" xr10:uidLastSave="{92A1DBFE-F0E3-4C41-ADF9-58CA7589EA28}"/>
  <bookViews>
    <workbookView xWindow="28680" yWindow="-120" windowWidth="29040" windowHeight="15840"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Plantilla!$A$7:$AG$10</definedName>
    <definedName name="aislamiento">#REF!</definedName>
    <definedName name="_xlnm.Print_Area" localSheetId="0">Plantilla!$A$1:$AG$20</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 l="1"/>
  <c r="W9" i="2"/>
  <c r="W8" i="2" s="1"/>
  <c r="U9" i="2"/>
  <c r="T9" i="2"/>
  <c r="K8" i="2"/>
  <c r="E8" i="2"/>
  <c r="Y885" i="5" l="1"/>
  <c r="Y886" i="5"/>
  <c r="Y887" i="5"/>
  <c r="Y888" i="5"/>
  <c r="Y889" i="5"/>
  <c r="Y890" i="5"/>
  <c r="Y891" i="5"/>
  <c r="Y892" i="5"/>
  <c r="Y893" i="5"/>
  <c r="Y894" i="5"/>
  <c r="Y895" i="5"/>
  <c r="Y896" i="5"/>
  <c r="Y897" i="5"/>
  <c r="Y898" i="5"/>
  <c r="Y899" i="5"/>
  <c r="Y900" i="5"/>
  <c r="Y901" i="5"/>
  <c r="Y902" i="5"/>
  <c r="Y903" i="5"/>
  <c r="Y904" i="5"/>
  <c r="Y905" i="5"/>
  <c r="Y906" i="5"/>
  <c r="Y907" i="5"/>
  <c r="Y884" i="5"/>
  <c r="T8" i="2"/>
  <c r="U8" i="2"/>
  <c r="E10" i="7"/>
  <c r="E7" i="7"/>
  <c r="E8" i="7"/>
  <c r="E12" i="7"/>
  <c r="E5" i="7"/>
  <c r="E9" i="7"/>
  <c r="E4" i="7"/>
  <c r="E13" i="7"/>
  <c r="E11" i="7"/>
  <c r="E3" i="7"/>
  <c r="E6" i="7"/>
  <c r="F13" i="7" l="1"/>
  <c r="F12" i="7"/>
  <c r="F11" i="7"/>
  <c r="F10" i="7"/>
  <c r="F9" i="7"/>
  <c r="F8" i="7"/>
  <c r="F7" i="7"/>
  <c r="F6" i="7"/>
  <c r="F5" i="7"/>
  <c r="F4" i="7"/>
  <c r="F3" i="7"/>
  <c r="L3" i="3"/>
  <c r="L2" i="3"/>
  <c r="L1" i="3"/>
  <c r="C3" i="3"/>
  <c r="C4" i="3"/>
  <c r="C2" i="3"/>
  <c r="A8" i="2"/>
  <c r="T10" i="2"/>
  <c r="U10" i="2"/>
  <c r="W10" i="2"/>
  <c r="A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<sst xmlns="http://schemas.openxmlformats.org/spreadsheetml/2006/main" count="2198" uniqueCount="930">
  <si>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</si>
  <si>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</si>
  <si>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</si>
  <si>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</si>
  <si>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</si>
  <si>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</si>
  <si>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</si>
  <si>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</si>
  <si>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</si>
  <si>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</si>
  <si>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</si>
  <si>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</si>
  <si>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</si>
  <si>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</si>
  <si>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</si>
  <si>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</si>
  <si>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</si>
  <si>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</si>
  <si>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</si>
  <si>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</si>
  <si>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</si>
  <si>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</si>
  <si>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</si>
  <si>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</si>
  <si>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</si>
  <si>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</si>
  <si>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</si>
  <si>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</si>
  <si>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</si>
  <si>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</si>
  <si>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</si>
  <si>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</si>
  <si>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</si>
  <si>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</si>
  <si>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</si>
  <si>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</si>
  <si>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</si>
  <si>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</si>
  <si>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</si>
  <si>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</si>
  <si>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</si>
  <si>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</si>
  <si>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</si>
  <si>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</si>
  <si>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</si>
  <si>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</si>
  <si>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</si>
  <si>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</si>
  <si>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</si>
  <si>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</si>
  <si>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</si>
  <si>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</si>
  <si>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</si>
  <si>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</si>
  <si>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</si>
  <si>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</si>
  <si>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</si>
  <si>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</si>
  <si>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</si>
  <si>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</si>
  <si>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</si>
  <si>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</si>
  <si>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</si>
  <si>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</si>
  <si>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</si>
  <si>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ARCADIS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</si>
  <si>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</si>
  <si>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</si>
  <si>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</si>
  <si>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</si>
  <si>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</si>
  <si>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</si>
  <si>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</si>
  <si>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</si>
  <si>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</si>
  <si>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</si>
  <si>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</si>
  <si>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</si>
  <si>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</si>
  <si>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</si>
  <si>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</si>
  <si>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</si>
  <si>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</si>
  <si>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</si>
  <si>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</si>
  <si>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</si>
  <si>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</si>
  <si>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</si>
  <si>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</si>
  <si>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</si>
  <si>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</si>
  <si>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</si>
  <si>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</si>
  <si>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</si>
  <si>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</si>
  <si>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</si>
  <si>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</si>
  <si>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</si>
  <si>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</si>
  <si>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</si>
  <si>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</si>
  <si>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</si>
  <si>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</si>
  <si>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</si>
  <si>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</si>
  <si>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</si>
  <si>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</si>
  <si>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</si>
  <si>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</si>
  <si>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</si>
  <si>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</si>
  <si>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</si>
  <si>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</si>
  <si>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</si>
  <si>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</si>
  <si>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</si>
  <si>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</si>
  <si>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</si>
  <si>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</si>
  <si>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</si>
  <si>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</si>
  <si>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</si>
  <si>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</si>
  <si>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</si>
  <si>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</si>
  <si>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</si>
  <si>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</si>
  <si>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</si>
  <si>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</si>
  <si>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</si>
  <si>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</si>
  <si>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</si>
  <si>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</si>
  <si>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</si>
  <si>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</si>
  <si>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</si>
  <si>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</si>
  <si>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</si>
  <si>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</si>
  <si>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</si>
  <si>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</si>
  <si>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</si>
  <si>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</si>
  <si>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</si>
  <si>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</si>
  <si>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</si>
  <si>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</si>
  <si>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</si>
  <si>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</si>
  <si>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</si>
  <si>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</si>
  <si>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</si>
  <si>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</si>
  <si>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</si>
  <si>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</si>
  <si>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</si>
  <si>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</si>
  <si>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</si>
  <si>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</si>
  <si>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</si>
  <si>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</si>
  <si>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</si>
  <si>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</si>
  <si>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</si>
  <si>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</si>
  <si>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</si>
  <si>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</si>
  <si>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</si>
  <si>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</si>
  <si>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</si>
  <si>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</si>
  <si>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</si>
  <si>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</si>
  <si>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</si>
  <si>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</si>
  <si>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</si>
  <si>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</si>
  <si>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</si>
  <si>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</si>
  <si>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</si>
  <si>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</si>
  <si>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</si>
  <si>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</si>
  <si>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</si>
  <si>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</si>
  <si>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</si>
  <si>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</si>
  <si>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</si>
  <si>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</si>
  <si>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</si>
  <si>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</si>
  <si>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</si>
  <si>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</si>
  <si>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</si>
  <si>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</si>
  <si>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</si>
  <si>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</si>
  <si>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</si>
  <si>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</si>
  <si>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</si>
  <si>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</si>
  <si>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</si>
  <si>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</si>
  <si>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</si>
  <si>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</si>
  <si>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</si>
  <si>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</si>
  <si>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</si>
  <si>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</si>
  <si>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</si>
  <si>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</si>
  <si>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</si>
  <si>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</si>
  <si>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</si>
  <si>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</si>
  <si>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</si>
  <si>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</si>
  <si>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</si>
  <si>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</si>
  <si>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</si>
  <si>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</si>
  <si>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</si>
  <si>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</si>
  <si>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</si>
  <si>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</si>
  <si>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</si>
  <si>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</si>
  <si>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</si>
  <si>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</si>
  <si>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</si>
  <si>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</si>
  <si>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</si>
  <si>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</si>
  <si>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</si>
  <si>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</si>
  <si>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</si>
  <si>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</si>
  <si>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</si>
  <si>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</si>
  <si>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</si>
  <si>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</si>
  <si>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</si>
  <si>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</si>
  <si>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</si>
  <si>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</si>
  <si>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</si>
  <si>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</si>
  <si>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</si>
  <si>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</si>
  <si>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</si>
  <si>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</si>
  <si>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</si>
  <si>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</si>
  <si>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</si>
  <si>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</si>
  <si>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</si>
  <si>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</si>
  <si>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</si>
  <si>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</si>
  <si>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</si>
  <si>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</si>
  <si>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</si>
  <si>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</si>
  <si>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</si>
  <si>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</si>
  <si>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</si>
  <si>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</si>
  <si>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</si>
  <si>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</si>
  <si>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</si>
  <si>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</si>
  <si>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</si>
  <si>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</si>
  <si>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</si>
  <si>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</si>
  <si>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</si>
  <si>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</si>
  <si>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</si>
  <si>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</si>
  <si>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</si>
  <si>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</si>
  <si>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</si>
  <si>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</si>
  <si>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</si>
  <si>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</si>
  <si>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</si>
  <si>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</si>
  <si>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</si>
  <si>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</si>
  <si>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</si>
  <si>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</si>
  <si>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</si>
  <si>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</si>
  <si>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</si>
  <si>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</si>
  <si>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</si>
  <si>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</si>
  <si>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</si>
  <si>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</si>
  <si>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</si>
  <si>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</si>
  <si>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</si>
  <si>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</si>
  <si>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</si>
  <si>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</si>
  <si>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</si>
  <si>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</si>
  <si>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</si>
  <si>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</si>
  <si>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</si>
  <si>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</si>
  <si>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</si>
  <si>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</si>
  <si>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</si>
  <si>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</si>
  <si>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</si>
  <si>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</si>
  <si>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</si>
  <si>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</si>
  <si>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</si>
  <si>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</si>
  <si>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</si>
  <si>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</si>
  <si>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</si>
  <si>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</si>
  <si>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</si>
  <si>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</si>
  <si>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</si>
  <si>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</si>
  <si>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</si>
  <si>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</si>
  <si>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</si>
  <si>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</si>
  <si>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</si>
  <si>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</si>
  <si>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</si>
  <si>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</si>
  <si>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</si>
  <si>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</si>
  <si>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</si>
  <si>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</si>
  <si>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</si>
  <si>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</si>
  <si>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</si>
  <si>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</si>
  <si>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</si>
  <si>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</si>
  <si>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</si>
  <si>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</si>
  <si>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</si>
  <si>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</si>
  <si>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</si>
  <si>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</si>
  <si>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</si>
  <si>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</si>
  <si>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</si>
  <si>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</si>
  <si>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</si>
  <si>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</si>
  <si>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</si>
  <si>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</si>
  <si>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</si>
  <si>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</si>
  <si>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</si>
  <si>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</si>
  <si>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</si>
  <si>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</si>
  <si>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</si>
  <si>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</si>
  <si>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</si>
  <si>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</si>
  <si>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</si>
  <si>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</si>
  <si>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</si>
  <si>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</si>
  <si>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</si>
  <si>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</si>
  <si>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</si>
  <si>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</si>
  <si>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</si>
  <si>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</si>
  <si>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</si>
  <si>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</si>
  <si>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</si>
  <si>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</si>
  <si>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</si>
  <si>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</si>
  <si>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</si>
  <si>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</si>
  <si>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</si>
  <si>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</si>
  <si>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</si>
  <si>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</si>
  <si>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</si>
  <si>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</si>
  <si>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</si>
  <si>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</si>
  <si>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</si>
  <si>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</si>
  <si>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</si>
  <si>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</si>
  <si>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</si>
  <si>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</si>
  <si>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</si>
  <si>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</si>
  <si>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</si>
  <si>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</si>
  <si>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</si>
  <si>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</si>
  <si>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</si>
  <si>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</si>
  <si>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</si>
  <si>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</si>
  <si>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</si>
  <si>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</si>
  <si>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</si>
  <si>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</si>
  <si>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</si>
  <si>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</si>
  <si>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</si>
  <si>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</si>
  <si>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</si>
  <si>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</si>
  <si>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</si>
  <si>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</si>
  <si>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</si>
  <si>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</si>
  <si>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</si>
  <si>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</si>
  <si>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</si>
  <si>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</si>
  <si>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</si>
  <si>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</si>
  <si>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</si>
  <si>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</si>
  <si>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</si>
  <si>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</si>
  <si>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</si>
  <si>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</si>
  <si>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</si>
  <si>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</si>
  <si>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</si>
  <si>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</si>
  <si>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</si>
  <si>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</si>
  <si>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</si>
  <si>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</si>
  <si>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</si>
  <si>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</si>
  <si>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</si>
  <si>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</si>
  <si>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</si>
  <si>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</si>
  <si>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</si>
  <si>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</si>
  <si>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</si>
  <si>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</si>
  <si>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</si>
  <si>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</si>
  <si>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</si>
  <si>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</si>
  <si>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</si>
  <si>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</si>
  <si>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</si>
  <si>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</si>
  <si>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</si>
  <si>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</si>
  <si>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</si>
  <si>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</si>
  <si>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</si>
  <si>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</si>
  <si>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</si>
  <si>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</si>
  <si>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</si>
  <si>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</si>
  <si>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</si>
  <si>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</si>
  <si>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</si>
  <si>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</si>
  <si>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</si>
  <si>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</si>
  <si>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</si>
  <si>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</si>
  <si>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</si>
  <si>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</si>
  <si>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</si>
  <si>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</si>
  <si>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</si>
  <si>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</si>
  <si>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</si>
  <si>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</si>
  <si>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</si>
  <si>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</si>
  <si>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</si>
  <si>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</si>
  <si>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</si>
  <si>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</si>
  <si>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</si>
  <si>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</si>
  <si>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</si>
  <si>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</si>
  <si>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</si>
  <si>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</si>
  <si>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</si>
  <si>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</si>
  <si>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</si>
  <si>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</si>
  <si>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</si>
  <si>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</si>
  <si>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</si>
  <si>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</si>
  <si>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</si>
  <si>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</si>
  <si>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</si>
  <si>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</si>
  <si>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</si>
  <si>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</si>
  <si>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</si>
  <si>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</si>
  <si>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</si>
  <si>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</si>
  <si>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</si>
  <si>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</si>
  <si>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</si>
  <si>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</si>
  <si>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</si>
  <si>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</si>
  <si>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</si>
  <si>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</si>
  <si>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</si>
  <si>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</si>
  <si>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</si>
  <si>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</si>
  <si>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</si>
  <si>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</si>
  <si>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</si>
  <si>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</si>
  <si>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</si>
  <si>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</si>
  <si>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</si>
  <si>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</si>
  <si>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</si>
  <si>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</si>
  <si>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</si>
  <si>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</si>
  <si>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</si>
  <si>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</si>
  <si>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</si>
  <si>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</si>
  <si>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</si>
  <si>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</si>
  <si>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</si>
  <si>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</si>
  <si>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</si>
  <si>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</si>
  <si>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</si>
  <si>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</si>
  <si>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</si>
  <si>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</si>
  <si>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</si>
  <si>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</si>
  <si>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</si>
  <si>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</si>
  <si>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</si>
  <si>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</si>
  <si>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</si>
  <si>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</si>
  <si>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</si>
  <si>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</si>
  <si>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</si>
  <si>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</si>
  <si>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</si>
  <si>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</si>
  <si>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</si>
  <si>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</si>
  <si>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</si>
  <si>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</si>
  <si>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</si>
  <si>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</si>
  <si>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</si>
  <si>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</si>
  <si>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</si>
  <si>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</si>
  <si>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</si>
  <si>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</si>
  <si>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</si>
  <si>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</si>
  <si>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</si>
  <si>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</si>
  <si>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</si>
  <si>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</si>
  <si>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</si>
  <si>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</si>
  <si>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</si>
  <si>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</si>
  <si>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</si>
  <si>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</si>
  <si>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</si>
  <si>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</si>
  <si>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</si>
  <si>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</si>
  <si>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</si>
  <si>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</si>
  <si>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</si>
  <si>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</si>
  <si>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</si>
  <si>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</si>
  <si>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</si>
  <si>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</si>
  <si>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</si>
  <si>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</si>
  <si>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</si>
  <si>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</si>
  <si>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</si>
  <si>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</si>
  <si>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</si>
  <si>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</si>
  <si>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</si>
  <si>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</si>
  <si>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</si>
  <si>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</si>
  <si>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</si>
  <si>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</si>
  <si>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</si>
  <si>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</si>
  <si>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</si>
  <si>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</si>
  <si>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</si>
  <si>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</si>
  <si>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</si>
  <si>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</si>
  <si>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</si>
  <si>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</si>
  <si>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</si>
  <si>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</si>
  <si>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</si>
  <si>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</si>
  <si>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</si>
  <si>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</si>
  <si>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</si>
  <si>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</si>
  <si>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</si>
  <si>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</si>
  <si>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</si>
  <si>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</si>
  <si>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</si>
  <si>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</si>
  <si>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</si>
  <si>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</si>
  <si>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</si>
  <si>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</si>
  <si>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</si>
  <si>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</si>
  <si>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</si>
  <si>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</si>
  <si>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</si>
  <si>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</si>
  <si>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</si>
  <si>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</si>
  <si>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</si>
  <si>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</si>
  <si>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</si>
  <si>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</si>
  <si>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</si>
  <si>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</si>
  <si>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</si>
  <si>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</si>
  <si>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</si>
  <si>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</si>
  <si>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</si>
  <si>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</si>
  <si>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</si>
  <si>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</si>
  <si>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</si>
  <si>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</si>
  <si>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</si>
  <si>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</si>
  <si>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</si>
  <si>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</si>
  <si>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</si>
  <si>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</si>
  <si>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</si>
  <si>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</si>
  <si>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</si>
  <si>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</si>
  <si>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</si>
  <si>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</si>
  <si>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</si>
  <si>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</si>
  <si>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</si>
  <si>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</si>
  <si>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</si>
  <si>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</si>
  <si>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</si>
  <si>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</si>
  <si>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</si>
  <si>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</si>
  <si>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</si>
  <si>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</si>
  <si>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</si>
  <si>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</si>
  <si>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</si>
  <si>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</si>
  <si>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</si>
  <si>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</si>
  <si>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</si>
  <si>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</si>
  <si>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</si>
  <si>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</si>
  <si>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</si>
  <si>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</si>
  <si>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</si>
  <si>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</si>
  <si>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</si>
  <si>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</si>
  <si>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</si>
  <si>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</si>
  <si>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</si>
  <si>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</si>
  <si>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</si>
  <si>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</si>
  <si>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</si>
  <si>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</si>
  <si>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</si>
  <si>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</si>
  <si>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</si>
  <si>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</si>
  <si>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</si>
  <si>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</si>
  <si>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</si>
  <si>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</si>
  <si>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</si>
  <si>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</si>
  <si>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</si>
  <si>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</si>
  <si>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</si>
  <si>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</si>
  <si>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</si>
  <si>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</si>
  <si>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</si>
  <si>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</si>
  <si>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</si>
  <si>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</si>
  <si>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</si>
  <si>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</si>
  <si>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</si>
  <si>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</si>
  <si>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</si>
  <si>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</si>
  <si>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</si>
  <si>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</si>
  <si>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</si>
  <si>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</si>
  <si>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</si>
  <si>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</si>
  <si>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</si>
  <si>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</si>
  <si>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</si>
  <si>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</si>
  <si>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</si>
  <si>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</si>
  <si>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</si>
  <si>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</si>
  <si>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</si>
  <si>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</si>
  <si>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</si>
  <si>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</si>
  <si>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</si>
  <si>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</si>
  <si>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</si>
  <si>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</si>
  <si>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</si>
  <si>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</si>
  <si>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</si>
  <si>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</si>
  <si>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</si>
  <si>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</si>
  <si>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</si>
  <si>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</si>
  <si>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</si>
  <si>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</si>
  <si>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</si>
  <si>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</si>
  <si>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</si>
  <si>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</si>
  <si>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</si>
  <si>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</si>
  <si>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</si>
  <si>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</si>
  <si>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</si>
  <si>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</si>
  <si>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</si>
  <si>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</si>
  <si>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</si>
  <si>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</si>
  <si>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</si>
  <si>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</si>
  <si>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</si>
  <si>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</si>
  <si>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</si>
  <si>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</si>
  <si>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</si>
  <si>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</si>
  <si>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</si>
  <si>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</si>
  <si>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</si>
  <si>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</si>
  <si>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</si>
  <si>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</si>
  <si>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</si>
  <si>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</si>
  <si>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</si>
  <si>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</si>
  <si>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</si>
  <si>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</si>
  <si>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</si>
  <si>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</si>
  <si>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</si>
  <si>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</si>
  <si>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</si>
  <si>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</si>
  <si>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</si>
  <si>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</si>
  <si>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</si>
  <si>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</si>
  <si>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</si>
  <si>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</si>
  <si>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</si>
  <si>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</si>
  <si>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</si>
  <si>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</si>
  <si>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</si>
  <si>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</si>
  <si>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</si>
  <si>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</si>
  <si>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</si>
  <si>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</si>
  <si>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</si>
  <si>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</si>
  <si>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</si>
  <si>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</si>
  <si>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</si>
  <si>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</si>
  <si>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</si>
  <si>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</si>
  <si>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</si>
  <si>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</si>
  <si>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</si>
  <si>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</si>
  <si>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</si>
  <si>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</si>
  <si>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</si>
  <si>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</si>
  <si>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</si>
  <si>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</si>
  <si>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</si>
  <si>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</si>
  <si>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</si>
  <si>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</si>
  <si>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</si>
  <si>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</si>
  <si>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</si>
  <si>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</si>
  <si>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</si>
  <si>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</si>
  <si>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</si>
  <si>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</si>
  <si>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</si>
  <si>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</si>
  <si>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</si>
  <si>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</si>
  <si>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</si>
  <si>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</si>
  <si>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</si>
  <si>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</si>
  <si>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</si>
  <si>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</si>
  <si>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</si>
  <si>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</si>
  <si>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</si>
  <si>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</si>
  <si>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</si>
  <si>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</si>
  <si>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</si>
  <si>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</si>
  <si>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</si>
  <si>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</si>
  <si>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</si>
  <si>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</si>
  <si>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</si>
  <si>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</si>
  <si>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</si>
  <si>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</si>
  <si>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</si>
  <si>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</si>
  <si>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</si>
  <si>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</si>
  <si>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</si>
  <si>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</si>
  <si>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</si>
  <si>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</si>
  <si>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</si>
  <si>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</si>
  <si>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</si>
  <si>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</si>
  <si>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</si>
  <si>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</si>
  <si>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</si>
  <si>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</si>
  <si>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</si>
  <si>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</si>
  <si>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</si>
  <si>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HH NORMA</t>
  </si>
  <si>
    <t>MAQUINAR INSTRUMENTO</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</si>
  <si>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</si>
  <si>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</si>
  <si>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</si>
  <si>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</si>
  <si>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Alistamiento / Prefabricados</t>
  </si>
  <si>
    <t>Armar andamios</t>
  </si>
  <si>
    <t>Retirar aislamiento térmico</t>
  </si>
  <si>
    <t>Instalar SAS</t>
  </si>
  <si>
    <t>Desarmar Partes / Abrir el equipo</t>
  </si>
  <si>
    <t>Limpieza de partes</t>
  </si>
  <si>
    <t>Ejecutar Recomendación (Según Alcance)</t>
  </si>
  <si>
    <t xml:space="preserve">Armar equipo / Hacer Pruebas </t>
  </si>
  <si>
    <t>Retirar SAS</t>
  </si>
  <si>
    <t>Instalar aislamiento térmico</t>
  </si>
  <si>
    <t>Desarmar andamios</t>
  </si>
  <si>
    <t>Versión: 4.5.1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</si>
</sst>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07">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12" fillId="0" borderId="0" xfId="0" applyFont="1" applyAlignment="1">
      <alignment vertical="center"/>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cellXfs>
  <cellStyles count="2">
    <cellStyle name="Normal" xfId="0" builtinId="0"/>
    <cellStyle name="Normal 3 2 10" xfId="1" xr:uid="{00000000-0005-0000-0000-000001000000}"/>
  </cellStyles>
  <dxfs count="28">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UNIDADES DE MEDIDA"/>
      <sheetName val="DESCIPCIÓN CORTA"/>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3"/>
  <sheetViews>
    <sheetView tabSelected="1" view="pageBreakPreview" zoomScale="80" zoomScaleNormal="80" zoomScaleSheetLayoutView="80" workbookViewId="0">
      <pane ySplit="7" topLeftCell="A8" activePane="bottomLeft" state="frozen"/>
      <selection pane="bottomLeft" activeCell="A12" sqref="A12:AG13"/>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28">
        <f>AB3</f>
        <v>0</v>
      </c>
      <c r="B1" s="229"/>
      <c r="C1" s="229"/>
      <c r="D1" s="229"/>
      <c r="E1" s="229"/>
      <c r="F1" s="229"/>
      <c r="G1" s="229"/>
      <c r="H1" s="229"/>
      <c r="I1" s="229"/>
      <c r="J1" s="229"/>
      <c r="K1" s="229"/>
      <c r="L1" s="229"/>
      <c r="M1" s="229"/>
      <c r="N1" s="229"/>
      <c r="O1" s="229"/>
      <c r="P1" s="229"/>
      <c r="Q1" s="229"/>
      <c r="R1" s="229"/>
      <c r="S1" s="229"/>
      <c r="T1" s="229"/>
      <c r="U1" s="229"/>
      <c r="V1" s="229"/>
      <c r="W1" s="229"/>
      <c r="X1" s="229"/>
      <c r="Y1" s="229"/>
      <c r="Z1" s="229"/>
      <c r="AA1" s="229"/>
      <c r="AB1" s="230"/>
      <c r="AC1" s="236" t="s">
        <v>929</v>
      </c>
      <c r="AD1" s="237"/>
      <c r="AE1" s="237"/>
      <c r="AF1" s="237"/>
      <c r="AG1" s="238"/>
    </row>
    <row r="2" spans="1:34" ht="32.25" customHeight="1" thickBot="1" x14ac:dyDescent="0.35">
      <c r="A2" s="231"/>
      <c r="B2" s="232"/>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3"/>
      <c r="AC2" s="239"/>
      <c r="AD2" s="240"/>
      <c r="AE2" s="240"/>
      <c r="AF2" s="240"/>
      <c r="AG2" s="241"/>
    </row>
    <row r="3" spans="1:34" s="25" customFormat="1" ht="22.5" customHeight="1" x14ac:dyDescent="0.3">
      <c r="A3" s="21" t="s">
        <v>0</v>
      </c>
      <c r="B3" s="234"/>
      <c r="C3" s="234"/>
      <c r="D3" s="234"/>
      <c r="E3" s="234"/>
      <c r="F3" s="234"/>
      <c r="G3" s="234"/>
      <c r="H3" s="234"/>
      <c r="I3" s="234"/>
      <c r="J3" s="234"/>
      <c r="K3" s="234"/>
      <c r="L3" s="22" t="s">
        <v>1</v>
      </c>
      <c r="M3" s="202"/>
      <c r="N3" s="202"/>
      <c r="O3" s="202"/>
      <c r="P3" s="202"/>
      <c r="Q3" s="242" t="s">
        <v>3</v>
      </c>
      <c r="R3" s="242"/>
      <c r="S3" s="23"/>
      <c r="T3" s="46"/>
      <c r="U3" s="23"/>
      <c r="V3" s="22" t="s">
        <v>4</v>
      </c>
      <c r="W3" s="198"/>
      <c r="X3" s="202"/>
      <c r="Y3" s="202"/>
      <c r="Z3" s="242" t="s">
        <v>5</v>
      </c>
      <c r="AA3" s="242"/>
      <c r="AB3" s="24"/>
      <c r="AC3" s="24"/>
      <c r="AD3" s="243" t="s">
        <v>6</v>
      </c>
      <c r="AE3" s="243"/>
      <c r="AF3" s="244"/>
      <c r="AG3" s="245"/>
    </row>
    <row r="4" spans="1:34" s="25" customFormat="1" ht="21" customHeight="1" x14ac:dyDescent="0.3">
      <c r="A4" s="26" t="s">
        <v>7</v>
      </c>
      <c r="B4" s="248"/>
      <c r="C4" s="248"/>
      <c r="D4" s="248"/>
      <c r="E4" s="248"/>
      <c r="F4" s="248"/>
      <c r="G4" s="248"/>
      <c r="H4" s="248"/>
      <c r="I4" s="248"/>
      <c r="J4" s="248"/>
      <c r="K4" s="248"/>
      <c r="L4" s="27" t="s">
        <v>8</v>
      </c>
      <c r="M4" s="198"/>
      <c r="N4" s="24"/>
      <c r="O4" s="24"/>
      <c r="P4" s="24"/>
      <c r="Q4" s="235" t="s">
        <v>9</v>
      </c>
      <c r="R4" s="235"/>
      <c r="S4" s="198"/>
      <c r="T4" s="24"/>
      <c r="U4" s="24"/>
      <c r="V4" s="28" t="s">
        <v>10</v>
      </c>
      <c r="W4" s="201"/>
      <c r="X4" s="24"/>
      <c r="Y4" s="24"/>
      <c r="Z4" s="235" t="s">
        <v>11</v>
      </c>
      <c r="AA4" s="235"/>
      <c r="AB4" s="24"/>
      <c r="AC4" s="24"/>
      <c r="AD4" s="24"/>
      <c r="AE4" s="200" t="s">
        <v>12</v>
      </c>
      <c r="AF4" s="246"/>
      <c r="AG4" s="247"/>
    </row>
    <row r="5" spans="1:34" ht="21.75" customHeight="1" x14ac:dyDescent="0.3">
      <c r="A5" s="26" t="s">
        <v>13</v>
      </c>
      <c r="B5" s="249"/>
      <c r="C5" s="249"/>
      <c r="D5" s="249"/>
      <c r="E5" s="249"/>
      <c r="F5" s="249"/>
      <c r="G5" s="249"/>
      <c r="H5" s="249"/>
      <c r="I5" s="249"/>
      <c r="J5" s="249"/>
      <c r="K5" s="249"/>
      <c r="L5" s="29" t="s">
        <v>14</v>
      </c>
      <c r="M5" s="249"/>
      <c r="N5" s="249"/>
      <c r="O5" s="249"/>
      <c r="P5" s="249"/>
      <c r="Q5" s="249"/>
      <c r="R5" s="249"/>
      <c r="S5" s="249"/>
      <c r="T5" s="249"/>
      <c r="U5" s="249"/>
      <c r="V5" s="249"/>
      <c r="W5" s="250"/>
      <c r="X5" s="251" t="s">
        <v>15</v>
      </c>
      <c r="Y5" s="252"/>
      <c r="Z5" s="252"/>
      <c r="AA5" s="252"/>
      <c r="AB5" s="251" t="s">
        <v>16</v>
      </c>
      <c r="AC5" s="252"/>
      <c r="AD5" s="252"/>
      <c r="AE5" s="252"/>
      <c r="AF5" s="252"/>
      <c r="AG5" s="255"/>
    </row>
    <row r="6" spans="1:34" ht="24" customHeight="1" thickBot="1" x14ac:dyDescent="0.35">
      <c r="A6" s="30" t="s">
        <v>17</v>
      </c>
      <c r="B6" s="260"/>
      <c r="C6" s="260"/>
      <c r="D6" s="31" t="s">
        <v>19</v>
      </c>
      <c r="E6" s="260"/>
      <c r="F6" s="260"/>
      <c r="G6" s="260"/>
      <c r="H6" s="260"/>
      <c r="I6" s="260"/>
      <c r="J6" s="260"/>
      <c r="K6" s="260"/>
      <c r="L6" s="31" t="s">
        <v>20</v>
      </c>
      <c r="M6" s="32"/>
      <c r="N6" s="199"/>
      <c r="O6" s="199"/>
      <c r="P6" s="31" t="s">
        <v>21</v>
      </c>
      <c r="Q6" s="70"/>
      <c r="R6" s="31"/>
      <c r="S6" s="31" t="s">
        <v>22</v>
      </c>
      <c r="T6" s="70"/>
      <c r="U6" s="33"/>
      <c r="V6" s="33"/>
      <c r="W6" s="33"/>
      <c r="X6" s="253"/>
      <c r="Y6" s="254"/>
      <c r="Z6" s="254"/>
      <c r="AA6" s="254"/>
      <c r="AB6" s="253"/>
      <c r="AC6" s="254"/>
      <c r="AD6" s="254"/>
      <c r="AE6" s="254"/>
      <c r="AF6" s="254"/>
      <c r="AG6" s="256"/>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19" t="str">
        <f>ENUMERAR(A8)</f>
        <v>010</v>
      </c>
      <c r="B8" s="210"/>
      <c r="C8" s="210"/>
      <c r="D8" s="219">
        <v>2000</v>
      </c>
      <c r="E8" s="219" t="e">
        <f>CLAVECONTROL(E8)</f>
        <v>#VALUE!</v>
      </c>
      <c r="F8" s="211"/>
      <c r="G8" s="219"/>
      <c r="H8" s="219"/>
      <c r="I8" s="220"/>
      <c r="J8" s="220"/>
      <c r="K8" s="220" t="str">
        <f>RAM(K8)</f>
        <v>0</v>
      </c>
      <c r="L8" s="210"/>
      <c r="M8" s="219"/>
      <c r="N8" s="219"/>
      <c r="O8" s="219"/>
      <c r="P8" s="219"/>
      <c r="Q8" s="219"/>
      <c r="R8" s="219"/>
      <c r="S8" s="219"/>
      <c r="T8" s="219">
        <f>SUMARBLANCO(T8)</f>
        <v>0</v>
      </c>
      <c r="U8" s="219">
        <f>SUMARBLANCO(U8)</f>
        <v>0</v>
      </c>
      <c r="V8" s="219"/>
      <c r="W8" s="219">
        <f>SUMARBLANCO(W8)</f>
        <v>0</v>
      </c>
      <c r="X8" s="219"/>
      <c r="Y8" s="219"/>
      <c r="Z8" s="221"/>
      <c r="AA8" s="219"/>
      <c r="AB8" s="219"/>
      <c r="AC8" s="219"/>
      <c r="AD8" s="219"/>
      <c r="AE8" s="219"/>
      <c r="AF8" s="219"/>
      <c r="AG8" s="219"/>
      <c r="AH8" s="203"/>
    </row>
    <row r="9" spans="1:34" x14ac:dyDescent="0.3">
      <c r="A9" s="222" t="str">
        <f>ENUMERAR(A9)</f>
        <v>010.010</v>
      </c>
      <c r="B9" s="223"/>
      <c r="C9" s="222"/>
      <c r="D9" s="222"/>
      <c r="E9" s="222"/>
      <c r="F9" s="224"/>
      <c r="G9" s="223"/>
      <c r="H9" s="223"/>
      <c r="I9" s="225"/>
      <c r="J9" s="225"/>
      <c r="K9" s="225"/>
      <c r="L9" s="223"/>
      <c r="M9" s="223"/>
      <c r="N9" s="223"/>
      <c r="O9" s="223"/>
      <c r="P9" s="223"/>
      <c r="Q9" s="223"/>
      <c r="R9" s="223"/>
      <c r="S9" s="223"/>
      <c r="T9" s="222">
        <f>SUMARGRIS(T9) + HHFactores(T9)</f>
        <v>0</v>
      </c>
      <c r="U9" s="222">
        <f>SUMARGRIS(U9) + HHTotales(U9)</f>
        <v>0</v>
      </c>
      <c r="V9" s="223"/>
      <c r="W9" s="223">
        <f>SUMARGRIS(W9) + CalcDURACIÓN(W9)</f>
        <v>0</v>
      </c>
      <c r="X9" s="223"/>
      <c r="Y9" s="223"/>
      <c r="Z9" s="226"/>
      <c r="AA9" s="223"/>
      <c r="AB9" s="223"/>
      <c r="AC9" s="223"/>
      <c r="AD9" s="223"/>
      <c r="AE9" s="223"/>
      <c r="AF9" s="223"/>
      <c r="AG9" s="223"/>
      <c r="AH9" s="203"/>
    </row>
    <row r="10" spans="1:34" s="25" customFormat="1" x14ac:dyDescent="0.3">
      <c r="A10" s="56"/>
      <c r="B10" s="57"/>
      <c r="C10" s="57"/>
      <c r="D10" s="58"/>
      <c r="E10" s="57"/>
      <c r="F10" s="59" t="s">
        <v>67</v>
      </c>
      <c r="G10" s="60"/>
      <c r="H10" s="60"/>
      <c r="I10" s="60"/>
      <c r="J10" s="60"/>
      <c r="K10" s="57"/>
      <c r="L10" s="61"/>
      <c r="M10" s="62"/>
      <c r="N10" s="62"/>
      <c r="O10" s="63"/>
      <c r="P10" s="64"/>
      <c r="Q10" s="65"/>
      <c r="R10" s="65"/>
      <c r="S10" s="66"/>
      <c r="T10" s="67">
        <f>SUMARTOTAL(T10)</f>
        <v>0</v>
      </c>
      <c r="U10" s="67">
        <f>SUMARTOTAL(U10)</f>
        <v>0</v>
      </c>
      <c r="V10" s="66"/>
      <c r="W10" s="67">
        <f>SUMARTOTAL(W10)</f>
        <v>0</v>
      </c>
      <c r="X10" s="68"/>
      <c r="Y10" s="68"/>
      <c r="Z10" s="69"/>
      <c r="AA10" s="68"/>
      <c r="AB10" s="68"/>
      <c r="AC10" s="68"/>
      <c r="AD10" s="68"/>
      <c r="AE10" s="68"/>
      <c r="AF10" s="68"/>
      <c r="AG10" s="68"/>
    </row>
    <row r="11" spans="1:34" x14ac:dyDescent="0.3">
      <c r="A11" s="257"/>
      <c r="B11" s="258"/>
      <c r="C11" s="258"/>
      <c r="D11" s="258"/>
      <c r="E11" s="258"/>
      <c r="F11" s="258"/>
      <c r="G11" s="258"/>
      <c r="H11" s="258"/>
      <c r="I11" s="258"/>
      <c r="J11" s="258"/>
      <c r="K11" s="258"/>
      <c r="L11" s="258"/>
      <c r="M11" s="258"/>
      <c r="N11" s="258"/>
      <c r="O11" s="258"/>
      <c r="P11" s="258"/>
      <c r="Q11" s="258"/>
      <c r="R11" s="258"/>
      <c r="S11" s="258"/>
      <c r="T11" s="258"/>
      <c r="U11" s="258"/>
      <c r="V11" s="258"/>
      <c r="W11" s="258"/>
      <c r="X11" s="258"/>
      <c r="Y11" s="258"/>
      <c r="Z11" s="258"/>
      <c r="AA11" s="258"/>
      <c r="AB11" s="258"/>
      <c r="AC11" s="258"/>
      <c r="AD11" s="258"/>
      <c r="AE11" s="258"/>
      <c r="AF11" s="258"/>
      <c r="AG11" s="259"/>
    </row>
    <row r="12" spans="1:34" x14ac:dyDescent="0.3">
      <c r="A12" s="261"/>
      <c r="B12" s="262"/>
      <c r="C12" s="262"/>
      <c r="D12" s="262"/>
      <c r="E12" s="262"/>
      <c r="F12" s="262"/>
      <c r="G12" s="262"/>
      <c r="H12" s="262"/>
      <c r="I12" s="262"/>
      <c r="J12" s="262"/>
      <c r="K12" s="262"/>
      <c r="L12" s="262"/>
      <c r="M12" s="262"/>
      <c r="N12" s="262"/>
      <c r="O12" s="262"/>
      <c r="P12" s="262"/>
      <c r="Q12" s="262"/>
      <c r="R12" s="262"/>
      <c r="S12" s="262"/>
      <c r="T12" s="262"/>
      <c r="U12" s="262"/>
      <c r="V12" s="262"/>
      <c r="W12" s="262"/>
      <c r="X12" s="262"/>
      <c r="Y12" s="262"/>
      <c r="Z12" s="262"/>
      <c r="AA12" s="262"/>
      <c r="AB12" s="262"/>
      <c r="AC12" s="262"/>
      <c r="AD12" s="262"/>
      <c r="AE12" s="262"/>
      <c r="AF12" s="262"/>
      <c r="AG12" s="263"/>
    </row>
    <row r="13" spans="1:34" ht="15" thickBot="1" x14ac:dyDescent="0.35">
      <c r="A13" s="264"/>
      <c r="B13" s="265"/>
      <c r="C13" s="265"/>
      <c r="D13" s="265"/>
      <c r="E13" s="265"/>
      <c r="F13" s="265"/>
      <c r="G13" s="265"/>
      <c r="H13" s="265"/>
      <c r="I13" s="265"/>
      <c r="J13" s="265"/>
      <c r="K13" s="265"/>
      <c r="L13" s="265"/>
      <c r="M13" s="265"/>
      <c r="N13" s="265"/>
      <c r="O13" s="265"/>
      <c r="P13" s="265"/>
      <c r="Q13" s="265"/>
      <c r="R13" s="265"/>
      <c r="S13" s="265"/>
      <c r="T13" s="265"/>
      <c r="U13" s="265"/>
      <c r="V13" s="265"/>
      <c r="W13" s="265"/>
      <c r="X13" s="265"/>
      <c r="Y13" s="265"/>
      <c r="Z13" s="265"/>
      <c r="AA13" s="265"/>
      <c r="AB13" s="265"/>
      <c r="AC13" s="265"/>
      <c r="AD13" s="265"/>
      <c r="AE13" s="265"/>
      <c r="AF13" s="265"/>
      <c r="AG13" s="266"/>
    </row>
    <row r="14" spans="1:34" ht="15" customHeight="1" x14ac:dyDescent="0.3">
      <c r="A14" s="267" t="s">
        <v>68</v>
      </c>
      <c r="B14" s="268"/>
      <c r="C14" s="34"/>
      <c r="D14" s="35"/>
      <c r="E14" s="35"/>
      <c r="F14" s="36"/>
      <c r="G14" s="208"/>
      <c r="H14" s="209"/>
      <c r="I14" s="35"/>
      <c r="J14" s="35"/>
      <c r="K14" s="209" t="s">
        <v>69</v>
      </c>
      <c r="L14" s="37"/>
      <c r="M14" s="35"/>
      <c r="N14" s="35"/>
      <c r="O14" s="35"/>
      <c r="P14" s="35"/>
      <c r="Q14" s="35"/>
      <c r="R14" s="35"/>
      <c r="S14" s="35"/>
      <c r="T14" s="35"/>
      <c r="U14" s="35"/>
      <c r="V14" s="35"/>
      <c r="W14" s="35"/>
      <c r="X14" s="35"/>
      <c r="Y14" s="35"/>
      <c r="Z14" s="35"/>
      <c r="AA14" s="35"/>
      <c r="AB14" s="35"/>
      <c r="AC14" s="35"/>
      <c r="AD14" s="35"/>
      <c r="AE14" s="35"/>
      <c r="AF14" s="35"/>
      <c r="AG14" s="36"/>
    </row>
    <row r="15" spans="1:34" x14ac:dyDescent="0.3">
      <c r="A15" s="38"/>
      <c r="B15" s="39"/>
      <c r="C15" s="39"/>
      <c r="D15" s="39"/>
      <c r="E15" s="39"/>
      <c r="F15" s="40"/>
      <c r="G15" s="38"/>
      <c r="H15" s="39"/>
      <c r="I15" s="39"/>
      <c r="J15" s="39"/>
      <c r="K15" s="39"/>
      <c r="L15" s="41"/>
      <c r="M15" s="39"/>
      <c r="N15" s="39"/>
      <c r="O15" s="39"/>
      <c r="P15" s="39"/>
      <c r="Q15" s="39"/>
      <c r="R15" s="39"/>
      <c r="S15" s="39"/>
      <c r="T15" s="39"/>
      <c r="U15" s="39"/>
      <c r="V15" s="39"/>
      <c r="W15" s="39"/>
      <c r="X15" s="39"/>
      <c r="Y15" s="39"/>
      <c r="Z15" s="39"/>
      <c r="AA15" s="39"/>
      <c r="AB15" s="39"/>
      <c r="AC15" s="39"/>
      <c r="AD15" s="39"/>
      <c r="AE15" s="39"/>
      <c r="AF15" s="39"/>
      <c r="AG15" s="40"/>
    </row>
    <row r="16" spans="1:34" x14ac:dyDescent="0.3">
      <c r="A16" s="38"/>
      <c r="B16" s="39"/>
      <c r="C16" s="39"/>
      <c r="D16" s="39"/>
      <c r="E16" s="39"/>
      <c r="F16" s="40"/>
      <c r="G16" s="38"/>
      <c r="H16" s="39"/>
      <c r="I16" s="39"/>
      <c r="J16" s="39"/>
      <c r="K16" s="39"/>
      <c r="L16" s="41"/>
      <c r="M16" s="39"/>
      <c r="N16" s="39"/>
      <c r="O16" s="39"/>
      <c r="P16" s="39"/>
      <c r="Q16" s="39"/>
      <c r="R16" s="39"/>
      <c r="S16" s="39"/>
      <c r="T16" s="39"/>
      <c r="U16" s="39"/>
      <c r="V16" s="39"/>
      <c r="W16" s="39"/>
      <c r="X16" s="39"/>
      <c r="Y16" s="39"/>
      <c r="Z16" s="39"/>
      <c r="AA16" s="39"/>
      <c r="AB16" s="39"/>
      <c r="AC16" s="39"/>
      <c r="AD16" s="39"/>
      <c r="AE16" s="39"/>
      <c r="AF16" s="39"/>
      <c r="AG16" s="40"/>
    </row>
    <row r="17" spans="1:33" ht="15" thickBot="1" x14ac:dyDescent="0.35">
      <c r="A17" s="269" t="s">
        <v>70</v>
      </c>
      <c r="B17" s="270"/>
      <c r="C17" s="271"/>
      <c r="D17" s="271"/>
      <c r="E17" s="271"/>
      <c r="F17" s="40"/>
      <c r="G17" s="38"/>
      <c r="H17" s="39"/>
      <c r="I17" s="39"/>
      <c r="J17" s="39"/>
      <c r="K17" s="39" t="s">
        <v>70</v>
      </c>
      <c r="L17" s="39"/>
      <c r="M17" s="271"/>
      <c r="N17" s="271"/>
      <c r="O17" s="271"/>
      <c r="P17" s="39"/>
      <c r="Q17" s="39"/>
      <c r="R17" s="39"/>
      <c r="S17" s="39"/>
      <c r="T17" s="39"/>
      <c r="U17" s="39"/>
      <c r="V17" s="39"/>
      <c r="W17" s="39"/>
      <c r="X17" s="39"/>
      <c r="Y17" s="39"/>
      <c r="Z17" s="39"/>
      <c r="AA17" s="39"/>
      <c r="AB17" s="39"/>
      <c r="AC17" s="39"/>
      <c r="AD17" s="39"/>
      <c r="AE17" s="39"/>
      <c r="AF17" s="39"/>
      <c r="AG17" s="40"/>
    </row>
    <row r="18" spans="1:33" x14ac:dyDescent="0.3">
      <c r="A18" s="269" t="s">
        <v>71</v>
      </c>
      <c r="B18" s="270"/>
      <c r="C18" s="272"/>
      <c r="D18" s="272"/>
      <c r="E18" s="272"/>
      <c r="F18" s="40"/>
      <c r="G18" s="38"/>
      <c r="H18" s="39"/>
      <c r="I18" s="39"/>
      <c r="J18" s="39"/>
      <c r="K18" s="39" t="s">
        <v>71</v>
      </c>
      <c r="L18" s="39"/>
      <c r="M18" s="272"/>
      <c r="N18" s="272"/>
      <c r="O18" s="272"/>
      <c r="P18" s="39"/>
      <c r="Q18" s="39"/>
      <c r="R18" s="39"/>
      <c r="S18" s="39"/>
      <c r="T18" s="39"/>
      <c r="U18" s="39"/>
      <c r="V18" s="39"/>
      <c r="W18" s="39"/>
      <c r="X18" s="39"/>
      <c r="Y18" s="39"/>
      <c r="Z18" s="39"/>
      <c r="AA18" s="39"/>
      <c r="AB18" s="39"/>
      <c r="AC18" s="39"/>
      <c r="AD18" s="39"/>
      <c r="AE18" s="39"/>
      <c r="AF18" s="39"/>
      <c r="AG18" s="40"/>
    </row>
    <row r="19" spans="1:33" ht="15" thickBot="1" x14ac:dyDescent="0.35">
      <c r="A19" s="273" t="s">
        <v>72</v>
      </c>
      <c r="B19" s="274"/>
      <c r="C19" s="275"/>
      <c r="D19" s="275"/>
      <c r="E19" s="206"/>
      <c r="F19" s="42"/>
      <c r="G19" s="207"/>
      <c r="H19" s="43"/>
      <c r="I19" s="43"/>
      <c r="J19" s="43"/>
      <c r="K19" s="43" t="s">
        <v>72</v>
      </c>
      <c r="L19" s="43"/>
      <c r="M19" s="275"/>
      <c r="N19" s="275"/>
      <c r="O19" s="214"/>
      <c r="P19" s="43"/>
      <c r="Q19" s="43"/>
      <c r="R19" s="43"/>
      <c r="S19" s="43"/>
      <c r="T19" s="43"/>
      <c r="U19" s="43"/>
      <c r="V19" s="43"/>
      <c r="W19" s="43"/>
      <c r="X19" s="43"/>
      <c r="Y19" s="43"/>
      <c r="Z19" s="43"/>
      <c r="AA19" s="43"/>
      <c r="AB19" s="43"/>
      <c r="AC19" s="43"/>
      <c r="AD19" s="43"/>
      <c r="AE19" s="43"/>
      <c r="AF19" s="43"/>
      <c r="AG19" s="42"/>
    </row>
    <row r="20" spans="1:33" x14ac:dyDescent="0.3">
      <c r="A20" s="212"/>
      <c r="B20" s="212"/>
      <c r="C20" s="213"/>
      <c r="D20" s="213"/>
      <c r="E20" s="212"/>
      <c r="F20" s="106"/>
      <c r="G20" s="106"/>
      <c r="H20" s="106"/>
      <c r="I20" s="106"/>
      <c r="J20" s="106"/>
      <c r="K20" s="106"/>
      <c r="L20" s="3"/>
      <c r="M20" s="3"/>
      <c r="N20" s="3"/>
      <c r="O20" s="106"/>
      <c r="P20" s="106"/>
      <c r="Q20" s="106"/>
      <c r="R20" s="106"/>
      <c r="S20" s="106"/>
      <c r="T20" s="106"/>
      <c r="U20" s="106"/>
      <c r="V20" s="106"/>
      <c r="W20" s="106"/>
      <c r="X20" s="106"/>
      <c r="Y20" s="106"/>
      <c r="Z20" s="106"/>
      <c r="AA20" s="106"/>
      <c r="AB20" s="106"/>
      <c r="AC20" s="106"/>
      <c r="AD20" s="106"/>
      <c r="AE20" s="106"/>
      <c r="AF20" s="106"/>
      <c r="AG20" s="106"/>
    </row>
    <row r="21" spans="1:33" ht="21" x14ac:dyDescent="0.4">
      <c r="A21" s="204" t="s">
        <v>73</v>
      </c>
    </row>
    <row r="22" spans="1:33" x14ac:dyDescent="0.3">
      <c r="A22" s="44" t="s">
        <v>74</v>
      </c>
    </row>
    <row r="23" spans="1:33" x14ac:dyDescent="0.3">
      <c r="A23" s="44" t="s">
        <v>75</v>
      </c>
      <c r="C23" s="44" t="s">
        <v>76</v>
      </c>
    </row>
    <row r="24" spans="1:33" x14ac:dyDescent="0.3">
      <c r="A24" s="215"/>
      <c r="C24" s="216"/>
      <c r="F24" s="215"/>
      <c r="K24" s="216"/>
    </row>
    <row r="25" spans="1:33" x14ac:dyDescent="0.3">
      <c r="A25" s="44" t="s">
        <v>77</v>
      </c>
      <c r="C25" s="216"/>
      <c r="F25" s="215"/>
      <c r="K25" s="216"/>
    </row>
    <row r="26" spans="1:33" x14ac:dyDescent="0.3">
      <c r="A26" s="44" t="s">
        <v>78</v>
      </c>
      <c r="C26" s="216"/>
      <c r="F26" s="215"/>
      <c r="K26" s="216"/>
    </row>
    <row r="27" spans="1:33" x14ac:dyDescent="0.3">
      <c r="A27" s="44" t="s">
        <v>79</v>
      </c>
      <c r="C27" s="216"/>
      <c r="F27" s="215"/>
      <c r="K27" s="216"/>
    </row>
    <row r="28" spans="1:33" x14ac:dyDescent="0.3">
      <c r="A28" s="44" t="s">
        <v>80</v>
      </c>
      <c r="C28" s="216"/>
      <c r="F28" s="215"/>
      <c r="K28" s="216"/>
    </row>
    <row r="29" spans="1:33" x14ac:dyDescent="0.3">
      <c r="C29" s="216"/>
      <c r="F29" s="215"/>
      <c r="K29" s="216"/>
    </row>
    <row r="30" spans="1:33" x14ac:dyDescent="0.3">
      <c r="C30" s="216"/>
      <c r="F30" s="215"/>
      <c r="K30" s="216"/>
    </row>
    <row r="31" spans="1:33" x14ac:dyDescent="0.3">
      <c r="C31" s="216"/>
      <c r="F31" s="215"/>
      <c r="K31" s="216"/>
    </row>
    <row r="32" spans="1:33" x14ac:dyDescent="0.3">
      <c r="C32" s="216"/>
    </row>
    <row r="33" spans="1:3" x14ac:dyDescent="0.3">
      <c r="A33" s="215"/>
      <c r="C33" s="216"/>
    </row>
    <row r="34" spans="1:3" x14ac:dyDescent="0.3">
      <c r="A34" s="215"/>
      <c r="C34" s="216"/>
    </row>
    <row r="35" spans="1:3" x14ac:dyDescent="0.3">
      <c r="A35" s="215"/>
      <c r="C35" s="216"/>
    </row>
    <row r="36" spans="1:3" x14ac:dyDescent="0.3">
      <c r="A36" s="215"/>
      <c r="C36" s="216"/>
    </row>
    <row r="37" spans="1:3" x14ac:dyDescent="0.3">
      <c r="A37" s="215"/>
      <c r="C37" s="216"/>
    </row>
    <row r="38" spans="1:3" x14ac:dyDescent="0.3">
      <c r="A38" s="215"/>
      <c r="C38" s="216"/>
    </row>
    <row r="39" spans="1:3" x14ac:dyDescent="0.3">
      <c r="C39" s="216"/>
    </row>
    <row r="40" spans="1:3" x14ac:dyDescent="0.3">
      <c r="C40" s="216"/>
    </row>
    <row r="41" spans="1:3" x14ac:dyDescent="0.3">
      <c r="C41" s="216"/>
    </row>
    <row r="42" spans="1:3" x14ac:dyDescent="0.3">
      <c r="C42" s="216"/>
    </row>
    <row r="43" spans="1:3" x14ac:dyDescent="0.3">
      <c r="A43" s="215"/>
      <c r="C43" s="216"/>
    </row>
  </sheetData>
  <sheetProtection algorithmName="SHA-512" hashValue="FNOp+9eh100OfzI/iyrpAQfxdEmovZW0HM9xGDpxxUy6RjiO4AGU1KY1tV02iSDKOArYPzthYvrQwZn2Sd7m7A==" saltValue="UOYiqDGMKzHbM/eR7g8Eug==" spinCount="100000" sheet="1" objects="1" scenarios="1" formatColumns="0" formatRows="0" autoFilter="0"/>
  <autoFilter ref="A7:AG10" xr:uid="{00000000-0009-0000-0000-000000000000}"/>
  <mergeCells count="30">
    <mergeCell ref="A18:B18"/>
    <mergeCell ref="C18:E18"/>
    <mergeCell ref="A19:B19"/>
    <mergeCell ref="C19:D19"/>
    <mergeCell ref="M18:O18"/>
    <mergeCell ref="M19:N19"/>
    <mergeCell ref="A12:AG13"/>
    <mergeCell ref="A14:B14"/>
    <mergeCell ref="A17:B17"/>
    <mergeCell ref="C17:E17"/>
    <mergeCell ref="M17:O17"/>
    <mergeCell ref="M5:W5"/>
    <mergeCell ref="X5:AA6"/>
    <mergeCell ref="AB5:AG6"/>
    <mergeCell ref="A11:AG11"/>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9">
    <cfRule type="cellIs" dxfId="27" priority="1" operator="equal">
      <formula>0</formula>
    </cfRule>
  </conditionalFormatting>
  <dataValidations count="1">
    <dataValidation allowBlank="1" showInputMessage="1" showErrorMessage="1" sqref="D8:E8 G8:K8 M8:AG8 A8:B8 A9:J9 O9 S9:W9 AG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000-000002000000}">
          <x14:formula1>
            <xm:f>Hoja1!$D$2:$D$69</xm:f>
          </x14:formula1>
          <xm:sqref>M9</xm:sqref>
        </x14:dataValidation>
        <x14:dataValidation type="list" allowBlank="1" showInputMessage="1" showErrorMessage="1" xr:uid="{00000000-0002-0000-0000-000003000000}">
          <x14:formula1>
            <xm:f>Hoja1!$P$2:$P$5</xm:f>
          </x14:formula1>
          <xm:sqref>N9</xm:sqref>
        </x14:dataValidation>
        <x14:dataValidation type="list" allowBlank="1" showInputMessage="1" showErrorMessage="1" xr:uid="{00000000-0002-0000-0000-000004000000}">
          <x14:formula1>
            <xm:f>Hoja1!$L$2:$L$13</xm:f>
          </x14:formula1>
          <xm:sqref>P9</xm:sqref>
        </x14:dataValidation>
        <x14:dataValidation type="list" allowBlank="1" showInputMessage="1" showErrorMessage="1" xr:uid="{00000000-0002-0000-0000-000005000000}">
          <x14:formula1>
            <xm:f>Hoja1!$F$2:$F$6</xm:f>
          </x14:formula1>
          <xm:sqref>Q9</xm:sqref>
        </x14:dataValidation>
        <x14:dataValidation type="list" allowBlank="1" showInputMessage="1" showErrorMessage="1" xr:uid="{00000000-0002-0000-0000-000006000000}">
          <x14:formula1>
            <xm:f>Hoja1!$G$2:$G$3</xm:f>
          </x14:formula1>
          <xm:sqref>R9</xm:sqref>
        </x14:dataValidation>
        <x14:dataValidation type="list" allowBlank="1" showInputMessage="1" showErrorMessage="1" xr:uid="{00000000-0002-0000-0000-000007000000}">
          <x14:formula1>
            <xm:f>Hoja1!$R$2:$R$3</xm:f>
          </x14:formula1>
          <xm:sqref>Y9</xm:sqref>
        </x14:dataValidation>
        <x14:dataValidation type="list" allowBlank="1" showInputMessage="1" showErrorMessage="1" xr:uid="{00000000-0002-0000-0000-000008000000}">
          <x14:formula1>
            <xm:f>Hoja1!$S$2:$S$3</xm:f>
          </x14:formula1>
          <xm:sqref>Z9</xm:sqref>
        </x14:dataValidation>
        <x14:dataValidation type="list" allowBlank="1" showInputMessage="1" showErrorMessage="1" xr:uid="{00000000-0002-0000-0000-000009000000}">
          <x14:formula1>
            <xm:f>Hoja1!$T$2:$T$3</xm:f>
          </x14:formula1>
          <xm:sqref>AA9</xm:sqref>
        </x14:dataValidation>
        <x14:dataValidation type="list" allowBlank="1" showInputMessage="1" showErrorMessage="1" xr:uid="{00000000-0002-0000-0000-00000A000000}">
          <x14:formula1>
            <xm:f>Hoja1!$U$2:$U$6</xm:f>
          </x14:formula1>
          <xm:sqref>AB9</xm:sqref>
        </x14:dataValidation>
        <x14:dataValidation type="list" allowBlank="1" showInputMessage="1" showErrorMessage="1" xr:uid="{00000000-0002-0000-0000-00000B000000}">
          <x14:formula1>
            <xm:f>Hoja1!$V$2:$V$4</xm:f>
          </x14:formula1>
          <xm:sqref>AC9</xm:sqref>
        </x14:dataValidation>
        <x14:dataValidation type="list" allowBlank="1" showInputMessage="1" showErrorMessage="1" xr:uid="{00000000-0002-0000-0000-00000C000000}">
          <x14:formula1>
            <xm:f>Hoja1!$W$2:$W$3</xm:f>
          </x14:formula1>
          <xm:sqref>AD9</xm:sqref>
        </x14:dataValidation>
        <x14:dataValidation type="list" allowBlank="1" showInputMessage="1" showErrorMessage="1" xr:uid="{00000000-0002-0000-0000-00000D000000}">
          <x14:formula1>
            <xm:f>Hoja1!$X$2:$X$3</xm:f>
          </x14:formula1>
          <xm:sqref>AE9</xm:sqref>
        </x14:dataValidation>
        <x14:dataValidation type="list" allowBlank="1" showInputMessage="1" showErrorMessage="1" xr:uid="{00000000-0002-0000-0000-00000E000000}">
          <x14:formula1>
            <xm:f>Hoja1!$Y$2:$Y$12</xm:f>
          </x14:formula1>
          <xm:sqref>AF9</xm:sqref>
        </x14:dataValidation>
        <x14:dataValidation type="list" allowBlank="1" showInputMessage="1" showErrorMessage="1" xr:uid="{00000000-0002-0000-0000-000010000000}">
          <x14:formula1>
            <xm:f>Hoja1!$H$2:$H$119</xm:f>
          </x14:formula1>
          <xm:sqref>C8</xm:sqref>
        </x14:dataValidation>
        <x14:dataValidation type="list" allowBlank="1" showInputMessage="1" showErrorMessage="1" xr:uid="{00000000-0002-0000-0000-000011000000}">
          <x14:formula1>
            <xm:f>Hoja1!$Z$2:$Z$6</xm:f>
          </x14:formula1>
          <xm:sqref>K9</xm:sqref>
        </x14:dataValidation>
        <x14:dataValidation type="list" allowBlank="1" showInputMessage="1" showErrorMessage="1" xr:uid="{00000000-0002-0000-0000-00000F000000}">
          <x14:formula1>
            <xm:f>Hoja1!$C$2:$C$3</xm:f>
          </x14:formula1>
          <xm:sqref>L8 L9</xm:sqref>
        </x14:dataValidation>
        <x14:dataValidation type="list" allowBlank="1" showInputMessage="1" showErrorMessage="1" xr:uid="{6789276D-DE15-4142-BB4F-58EF82D5428D}">
          <x14:formula1>
            <xm:f>Hoja1!$Q$2:$Q$5</xm:f>
          </x14:formula1>
          <xm:sqref>X9</xm:sqref>
        </x14:dataValidation>
        <x14:dataValidation type="list" allowBlank="1" showInputMessage="1" showErrorMessage="1" xr:uid="{5DBC4D9E-A8B1-4912-A1AC-B49729CF08F7}">
          <x14:formula1>
            <xm:f>Hoja1!$AH$2:$AH$12</xm:f>
          </x14:formula1>
          <xm:sqref>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05" t="s">
        <v>903</v>
      </c>
      <c r="B1" t="s">
        <v>904</v>
      </c>
      <c r="C1" t="s">
        <v>905</v>
      </c>
      <c r="D1" t="s">
        <v>906</v>
      </c>
      <c r="E1" t="s">
        <v>907</v>
      </c>
      <c r="F1" t="s">
        <v>908</v>
      </c>
    </row>
    <row r="2" spans="1:6" x14ac:dyDescent="0.3">
      <c r="B2" s="205"/>
      <c r="C2" s="205"/>
    </row>
    <row r="3" spans="1:6" x14ac:dyDescent="0.3">
      <c r="A3" s="205">
        <v>10</v>
      </c>
      <c r="B3" t="s">
        <v>155</v>
      </c>
      <c r="D3">
        <v>0.17</v>
      </c>
      <c r="E3">
        <f t="shared" ref="E3:E13" ca="1" si="0">SUCESORA(E3)</f>
        <v>0</v>
      </c>
      <c r="F3">
        <f t="shared" ref="F3:F13" ca="1" si="1">E3+D3</f>
        <v>0.17</v>
      </c>
    </row>
    <row r="4" spans="1:6" x14ac:dyDescent="0.3">
      <c r="A4" s="205">
        <v>20</v>
      </c>
      <c r="B4" t="s">
        <v>901</v>
      </c>
      <c r="D4">
        <v>3.05</v>
      </c>
      <c r="E4">
        <f t="shared" ca="1" si="0"/>
        <v>0</v>
      </c>
      <c r="F4">
        <f t="shared" ca="1" si="1"/>
        <v>3.05</v>
      </c>
    </row>
    <row r="5" spans="1:6" x14ac:dyDescent="0.3">
      <c r="A5">
        <v>30</v>
      </c>
      <c r="B5" t="s">
        <v>899</v>
      </c>
      <c r="D5">
        <v>1</v>
      </c>
      <c r="E5">
        <f t="shared" ca="1" si="0"/>
        <v>0</v>
      </c>
      <c r="F5">
        <f t="shared" ca="1" si="1"/>
        <v>1</v>
      </c>
    </row>
    <row r="6" spans="1:6" x14ac:dyDescent="0.3">
      <c r="A6">
        <v>40</v>
      </c>
      <c r="B6" t="s">
        <v>897</v>
      </c>
      <c r="D6">
        <v>12</v>
      </c>
      <c r="E6">
        <f t="shared" ca="1" si="0"/>
        <v>0</v>
      </c>
      <c r="F6">
        <f t="shared" ca="1" si="1"/>
        <v>12</v>
      </c>
    </row>
    <row r="7" spans="1:6" x14ac:dyDescent="0.3">
      <c r="A7" s="205">
        <v>50</v>
      </c>
      <c r="B7" t="s">
        <v>913</v>
      </c>
      <c r="D7">
        <v>2</v>
      </c>
      <c r="E7">
        <f t="shared" ca="1" si="0"/>
        <v>0</v>
      </c>
      <c r="F7">
        <f t="shared" ca="1" si="1"/>
        <v>2</v>
      </c>
    </row>
    <row r="8" spans="1:6" x14ac:dyDescent="0.3">
      <c r="A8" s="205">
        <v>60</v>
      </c>
      <c r="B8" s="205" t="s">
        <v>898</v>
      </c>
      <c r="C8" s="205"/>
      <c r="D8">
        <v>1</v>
      </c>
      <c r="E8">
        <f t="shared" ca="1" si="0"/>
        <v>0</v>
      </c>
      <c r="F8">
        <f t="shared" ca="1" si="1"/>
        <v>1</v>
      </c>
    </row>
    <row r="9" spans="1:6" x14ac:dyDescent="0.3">
      <c r="A9" s="205">
        <v>70</v>
      </c>
      <c r="B9" t="s">
        <v>900</v>
      </c>
      <c r="D9">
        <v>1</v>
      </c>
      <c r="E9">
        <f t="shared" ca="1" si="0"/>
        <v>0</v>
      </c>
      <c r="F9">
        <f t="shared" ca="1" si="1"/>
        <v>1</v>
      </c>
    </row>
    <row r="10" spans="1:6" x14ac:dyDescent="0.3">
      <c r="A10" s="205">
        <v>80</v>
      </c>
      <c r="B10" t="s">
        <v>896</v>
      </c>
      <c r="D10">
        <v>1</v>
      </c>
      <c r="E10">
        <f t="shared" ca="1" si="0"/>
        <v>0</v>
      </c>
      <c r="F10">
        <f t="shared" ca="1" si="1"/>
        <v>1</v>
      </c>
    </row>
    <row r="11" spans="1:6" x14ac:dyDescent="0.3">
      <c r="A11">
        <v>90</v>
      </c>
      <c r="B11" t="s">
        <v>902</v>
      </c>
      <c r="D11">
        <v>3.32</v>
      </c>
      <c r="E11">
        <f t="shared" ca="1" si="0"/>
        <v>0</v>
      </c>
      <c r="F11">
        <f t="shared" ca="1" si="1"/>
        <v>3.32</v>
      </c>
    </row>
    <row r="12" spans="1:6" x14ac:dyDescent="0.3">
      <c r="A12">
        <v>100</v>
      </c>
      <c r="B12" t="s">
        <v>350</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18" t="s">
        <v>81</v>
      </c>
      <c r="B1" s="218" t="s">
        <v>82</v>
      </c>
      <c r="C1" s="218" t="s">
        <v>83</v>
      </c>
    </row>
    <row r="2" spans="1:3" ht="28.8" x14ac:dyDescent="0.3">
      <c r="A2" s="189">
        <v>43705</v>
      </c>
      <c r="B2" s="3" t="s">
        <v>84</v>
      </c>
      <c r="C2" s="71" t="s">
        <v>85</v>
      </c>
    </row>
    <row r="3" spans="1:3" ht="172.8" x14ac:dyDescent="0.3">
      <c r="A3" s="189">
        <v>43721</v>
      </c>
      <c r="B3" s="3" t="s">
        <v>86</v>
      </c>
      <c r="C3" s="71" t="s">
        <v>87</v>
      </c>
    </row>
    <row r="4" spans="1:3" ht="72" x14ac:dyDescent="0.3">
      <c r="A4" s="189">
        <v>44637</v>
      </c>
      <c r="B4" s="3" t="s">
        <v>915</v>
      </c>
      <c r="C4" s="71" t="s">
        <v>917</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79" t="s">
        <v>88</v>
      </c>
      <c r="B1" s="279"/>
      <c r="C1" s="284" t="s">
        <v>914</v>
      </c>
      <c r="D1" s="284"/>
      <c r="E1" s="284"/>
      <c r="F1" s="284"/>
      <c r="G1" s="284"/>
      <c r="H1" s="284"/>
      <c r="I1" s="282" t="s">
        <v>89</v>
      </c>
      <c r="J1" s="282"/>
      <c r="K1" s="282"/>
      <c r="L1" s="176">
        <f>Plantilla!AF4</f>
        <v>0</v>
      </c>
    </row>
    <row r="2" spans="1:12" customFormat="1" x14ac:dyDescent="0.3">
      <c r="A2" s="279" t="s">
        <v>90</v>
      </c>
      <c r="B2" s="279"/>
      <c r="C2" s="284">
        <f>Plantilla!M3</f>
        <v>0</v>
      </c>
      <c r="D2" s="284"/>
      <c r="E2" s="284"/>
      <c r="F2" s="284"/>
      <c r="G2" s="284"/>
      <c r="H2" s="284"/>
      <c r="I2" s="282" t="s">
        <v>91</v>
      </c>
      <c r="J2" s="282"/>
      <c r="K2" s="282"/>
      <c r="L2" s="176">
        <f>Plantilla!AB3</f>
        <v>0</v>
      </c>
    </row>
    <row r="3" spans="1:12" customFormat="1" ht="15.75" customHeight="1" x14ac:dyDescent="0.3">
      <c r="A3" s="280" t="s">
        <v>92</v>
      </c>
      <c r="B3" s="281"/>
      <c r="C3" s="284">
        <f>Plantilla!B3</f>
        <v>0</v>
      </c>
      <c r="D3" s="284"/>
      <c r="E3" s="284"/>
      <c r="F3" s="284"/>
      <c r="G3" s="284"/>
      <c r="H3" s="284"/>
      <c r="I3" s="282" t="s">
        <v>93</v>
      </c>
      <c r="J3" s="282"/>
      <c r="K3" s="282"/>
      <c r="L3" s="176">
        <f>Plantilla!E6</f>
        <v>0</v>
      </c>
    </row>
    <row r="4" spans="1:12" customFormat="1" ht="15.75" customHeight="1" x14ac:dyDescent="0.3">
      <c r="A4" s="280" t="s">
        <v>94</v>
      </c>
      <c r="B4" s="281"/>
      <c r="C4" s="283">
        <f>Plantilla!B5</f>
        <v>0</v>
      </c>
      <c r="D4" s="283"/>
      <c r="E4" s="283"/>
      <c r="F4" s="283"/>
      <c r="G4" s="283"/>
      <c r="H4" s="283"/>
      <c r="I4" s="78"/>
      <c r="J4" s="78"/>
      <c r="K4" s="78"/>
      <c r="L4" s="78"/>
    </row>
    <row r="5" spans="1:12" customFormat="1" ht="15.75" customHeight="1" x14ac:dyDescent="0.3">
      <c r="A5" s="276" t="s">
        <v>95</v>
      </c>
      <c r="B5" s="277"/>
      <c r="C5" s="277"/>
      <c r="D5" s="277"/>
      <c r="E5" s="277"/>
      <c r="F5" s="277"/>
      <c r="G5" s="277"/>
      <c r="H5" s="277"/>
      <c r="I5" s="277"/>
      <c r="J5" s="277"/>
      <c r="K5" s="277"/>
      <c r="L5" s="278"/>
    </row>
    <row r="6" spans="1:12" ht="52.8" x14ac:dyDescent="0.3">
      <c r="A6" s="80" t="s">
        <v>96</v>
      </c>
      <c r="B6" s="80" t="s">
        <v>97</v>
      </c>
      <c r="C6" s="80" t="s">
        <v>36</v>
      </c>
      <c r="D6" s="80" t="s">
        <v>98</v>
      </c>
      <c r="E6" s="80" t="s">
        <v>99</v>
      </c>
      <c r="F6" s="80" t="s">
        <v>100</v>
      </c>
      <c r="G6" s="81" t="s">
        <v>101</v>
      </c>
      <c r="H6" s="80" t="s">
        <v>102</v>
      </c>
      <c r="I6" s="80" t="s">
        <v>103</v>
      </c>
      <c r="J6" s="81" t="s">
        <v>104</v>
      </c>
      <c r="K6" s="80" t="s">
        <v>105</v>
      </c>
      <c r="L6" s="80" t="s">
        <v>106</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AA1" zoomScale="90" zoomScaleNormal="90" workbookViewId="0">
      <selection activeCell="AI18" sqref="AI18"/>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107</v>
      </c>
      <c r="B1" s="2" t="s">
        <v>108</v>
      </c>
      <c r="C1" s="3" t="s">
        <v>109</v>
      </c>
      <c r="D1" s="4" t="s">
        <v>110</v>
      </c>
      <c r="E1" s="4" t="s">
        <v>111</v>
      </c>
      <c r="F1" s="4" t="s">
        <v>38</v>
      </c>
      <c r="G1" s="5" t="s">
        <v>112</v>
      </c>
      <c r="H1" s="6" t="s">
        <v>25</v>
      </c>
      <c r="I1" s="7" t="s">
        <v>113</v>
      </c>
      <c r="J1" s="7" t="s">
        <v>114</v>
      </c>
      <c r="K1" s="6" t="s">
        <v>25</v>
      </c>
      <c r="L1" s="7" t="s">
        <v>1</v>
      </c>
      <c r="M1" s="8" t="s">
        <v>115</v>
      </c>
      <c r="N1" s="8" t="s">
        <v>116</v>
      </c>
      <c r="O1" s="8" t="s">
        <v>117</v>
      </c>
      <c r="P1" s="9" t="s">
        <v>36</v>
      </c>
      <c r="Q1" s="9" t="s">
        <v>45</v>
      </c>
      <c r="R1" s="9" t="s">
        <v>46</v>
      </c>
      <c r="S1" s="9" t="s">
        <v>47</v>
      </c>
      <c r="T1" s="9" t="s">
        <v>48</v>
      </c>
      <c r="U1" s="9" t="s">
        <v>49</v>
      </c>
      <c r="V1" s="9" t="s">
        <v>50</v>
      </c>
      <c r="W1" s="9" t="s">
        <v>51</v>
      </c>
      <c r="X1" s="9" t="s">
        <v>118</v>
      </c>
      <c r="Y1" s="9" t="s">
        <v>53</v>
      </c>
      <c r="Z1" s="9" t="s">
        <v>119</v>
      </c>
      <c r="AA1" s="9" t="s">
        <v>120</v>
      </c>
      <c r="AB1" s="73" t="s">
        <v>25</v>
      </c>
      <c r="AC1" s="7" t="s">
        <v>113</v>
      </c>
      <c r="AD1" s="9" t="s">
        <v>114</v>
      </c>
      <c r="AE1" s="9" t="s">
        <v>97</v>
      </c>
      <c r="AF1" s="9" t="s">
        <v>36</v>
      </c>
      <c r="AG1" s="9" t="s">
        <v>90</v>
      </c>
      <c r="AH1" s="9" t="s">
        <v>121</v>
      </c>
      <c r="AI1" s="9" t="s">
        <v>909</v>
      </c>
      <c r="AJ1" s="9" t="s">
        <v>910</v>
      </c>
      <c r="AK1" s="9" t="s">
        <v>911</v>
      </c>
      <c r="AL1" s="9" t="s">
        <v>912</v>
      </c>
    </row>
    <row r="2" spans="1:38" x14ac:dyDescent="0.3">
      <c r="C2" t="s">
        <v>57</v>
      </c>
      <c r="D2" t="s">
        <v>122</v>
      </c>
      <c r="E2" t="s">
        <v>123</v>
      </c>
      <c r="F2" t="s">
        <v>61</v>
      </c>
      <c r="G2" s="11" t="s">
        <v>124</v>
      </c>
      <c r="H2" s="11" t="s">
        <v>125</v>
      </c>
      <c r="I2" s="11" t="s">
        <v>126</v>
      </c>
      <c r="J2" s="12" t="s">
        <v>127</v>
      </c>
      <c r="K2" s="11" t="s">
        <v>128</v>
      </c>
      <c r="L2" s="13" t="s">
        <v>129</v>
      </c>
      <c r="M2" s="15" t="s">
        <v>130</v>
      </c>
      <c r="N2" s="15" t="s">
        <v>131</v>
      </c>
      <c r="O2" t="s">
        <v>132</v>
      </c>
      <c r="P2" t="s">
        <v>133</v>
      </c>
      <c r="Q2">
        <v>1.03</v>
      </c>
      <c r="R2" s="14">
        <v>1</v>
      </c>
      <c r="S2" s="14">
        <v>1</v>
      </c>
      <c r="T2" s="14">
        <v>1</v>
      </c>
      <c r="U2" s="14">
        <v>1</v>
      </c>
      <c r="V2" s="14">
        <v>0.86</v>
      </c>
      <c r="W2" s="14">
        <v>1</v>
      </c>
      <c r="X2" s="14">
        <v>1</v>
      </c>
      <c r="Y2" s="14">
        <v>0.9</v>
      </c>
      <c r="Z2" t="s">
        <v>134</v>
      </c>
      <c r="AA2" t="s">
        <v>135</v>
      </c>
      <c r="AB2" s="74" t="s">
        <v>136</v>
      </c>
      <c r="AC2" s="11" t="s">
        <v>137</v>
      </c>
      <c r="AD2" t="s">
        <v>138</v>
      </c>
      <c r="AG2" t="s">
        <v>139</v>
      </c>
      <c r="AH2" s="227" t="s">
        <v>918</v>
      </c>
      <c r="AL2" s="217"/>
    </row>
    <row r="3" spans="1:38" x14ac:dyDescent="0.3">
      <c r="C3" t="s">
        <v>140</v>
      </c>
      <c r="D3" t="s">
        <v>141</v>
      </c>
      <c r="E3" t="s">
        <v>142</v>
      </c>
      <c r="F3" t="s">
        <v>65</v>
      </c>
      <c r="G3" s="11" t="s">
        <v>62</v>
      </c>
      <c r="H3" s="11" t="s">
        <v>143</v>
      </c>
      <c r="I3" s="11" t="s">
        <v>144</v>
      </c>
      <c r="J3" s="12" t="s">
        <v>127</v>
      </c>
      <c r="K3" s="11" t="s">
        <v>138</v>
      </c>
      <c r="L3" s="13" t="s">
        <v>145</v>
      </c>
      <c r="M3" s="15" t="s">
        <v>146</v>
      </c>
      <c r="N3" s="15" t="s">
        <v>147</v>
      </c>
      <c r="O3" t="s">
        <v>148</v>
      </c>
      <c r="P3" t="s">
        <v>149</v>
      </c>
      <c r="Q3">
        <v>1.05</v>
      </c>
      <c r="R3" s="14">
        <v>1.1000000000000001</v>
      </c>
      <c r="S3">
        <v>1.1499999999999999</v>
      </c>
      <c r="T3">
        <v>1.1499999999999999</v>
      </c>
      <c r="U3">
        <v>1.1499999999999999</v>
      </c>
      <c r="V3" s="14">
        <v>1</v>
      </c>
      <c r="W3">
        <v>1.25</v>
      </c>
      <c r="X3" s="14">
        <v>1.2</v>
      </c>
      <c r="Y3" s="14">
        <v>1</v>
      </c>
      <c r="Z3" t="s">
        <v>150</v>
      </c>
      <c r="AA3" t="s">
        <v>151</v>
      </c>
      <c r="AB3" s="74" t="s">
        <v>152</v>
      </c>
      <c r="AC3" s="11" t="s">
        <v>153</v>
      </c>
      <c r="AD3" t="s">
        <v>138</v>
      </c>
      <c r="AG3" t="s">
        <v>154</v>
      </c>
      <c r="AH3" t="s">
        <v>919</v>
      </c>
      <c r="AL3" s="217"/>
    </row>
    <row r="4" spans="1:38" x14ac:dyDescent="0.3">
      <c r="D4" t="s">
        <v>156</v>
      </c>
      <c r="E4" t="s">
        <v>157</v>
      </c>
      <c r="F4" t="s">
        <v>158</v>
      </c>
      <c r="G4" s="11"/>
      <c r="H4" s="11" t="s">
        <v>159</v>
      </c>
      <c r="I4" s="11" t="s">
        <v>160</v>
      </c>
      <c r="J4" s="12" t="s">
        <v>127</v>
      </c>
      <c r="K4" s="13"/>
      <c r="L4" s="13" t="s">
        <v>161</v>
      </c>
      <c r="M4" s="15" t="s">
        <v>162</v>
      </c>
      <c r="N4" s="15" t="s">
        <v>163</v>
      </c>
      <c r="O4" t="s">
        <v>916</v>
      </c>
      <c r="P4" t="s">
        <v>59</v>
      </c>
      <c r="Q4">
        <v>1.08</v>
      </c>
      <c r="U4">
        <v>1.25</v>
      </c>
      <c r="V4">
        <v>1.34</v>
      </c>
      <c r="Y4" s="14">
        <v>1.2</v>
      </c>
      <c r="Z4" t="s">
        <v>56</v>
      </c>
      <c r="AA4" t="s">
        <v>164</v>
      </c>
      <c r="AB4" s="74" t="s">
        <v>165</v>
      </c>
      <c r="AC4" s="11" t="s">
        <v>166</v>
      </c>
      <c r="AD4" t="s">
        <v>138</v>
      </c>
      <c r="AG4" t="s">
        <v>167</v>
      </c>
      <c r="AH4" t="s">
        <v>920</v>
      </c>
      <c r="AL4" s="217"/>
    </row>
    <row r="5" spans="1:38" x14ac:dyDescent="0.3">
      <c r="D5" t="s">
        <v>168</v>
      </c>
      <c r="E5" t="s">
        <v>169</v>
      </c>
      <c r="F5" t="s">
        <v>63</v>
      </c>
      <c r="G5" s="11"/>
      <c r="H5" s="11" t="s">
        <v>170</v>
      </c>
      <c r="I5" s="11" t="s">
        <v>171</v>
      </c>
      <c r="J5" s="12" t="s">
        <v>127</v>
      </c>
      <c r="K5" s="13"/>
      <c r="L5" s="13" t="s">
        <v>172</v>
      </c>
      <c r="M5" s="15" t="s">
        <v>173</v>
      </c>
      <c r="N5" s="15" t="s">
        <v>18</v>
      </c>
      <c r="O5" t="s">
        <v>174</v>
      </c>
      <c r="P5" t="s">
        <v>175</v>
      </c>
      <c r="Q5" s="14">
        <v>1.1000000000000001</v>
      </c>
      <c r="U5" s="14">
        <v>1.5</v>
      </c>
      <c r="Y5" s="14">
        <v>1.4</v>
      </c>
      <c r="Z5" t="s">
        <v>176</v>
      </c>
      <c r="AA5" t="s">
        <v>177</v>
      </c>
      <c r="AB5" s="74" t="s">
        <v>178</v>
      </c>
      <c r="AC5" s="11" t="s">
        <v>179</v>
      </c>
      <c r="AD5" t="s">
        <v>138</v>
      </c>
      <c r="AG5" t="s">
        <v>180</v>
      </c>
      <c r="AH5" t="s">
        <v>921</v>
      </c>
      <c r="AL5" s="217"/>
    </row>
    <row r="6" spans="1:38" x14ac:dyDescent="0.3">
      <c r="D6" t="s">
        <v>58</v>
      </c>
      <c r="E6" t="s">
        <v>181</v>
      </c>
      <c r="F6" t="s">
        <v>66</v>
      </c>
      <c r="G6" s="11"/>
      <c r="H6" s="11" t="s">
        <v>182</v>
      </c>
      <c r="I6" s="11" t="s">
        <v>183</v>
      </c>
      <c r="J6" s="12" t="s">
        <v>127</v>
      </c>
      <c r="K6" s="13"/>
      <c r="L6" s="13" t="s">
        <v>184</v>
      </c>
      <c r="M6" s="15" t="s">
        <v>185</v>
      </c>
      <c r="N6" s="15" t="s">
        <v>186</v>
      </c>
      <c r="U6">
        <v>1.66</v>
      </c>
      <c r="Y6" s="14">
        <v>1.6</v>
      </c>
      <c r="Z6" t="s">
        <v>187</v>
      </c>
      <c r="AA6" t="s">
        <v>188</v>
      </c>
      <c r="AB6" s="74" t="s">
        <v>189</v>
      </c>
      <c r="AC6" s="11" t="s">
        <v>190</v>
      </c>
      <c r="AD6" t="s">
        <v>138</v>
      </c>
      <c r="AG6" t="s">
        <v>2</v>
      </c>
      <c r="AH6" t="s">
        <v>922</v>
      </c>
      <c r="AL6" s="217"/>
    </row>
    <row r="7" spans="1:38" x14ac:dyDescent="0.3">
      <c r="D7" t="s">
        <v>191</v>
      </c>
      <c r="E7" t="s">
        <v>192</v>
      </c>
      <c r="G7" s="11"/>
      <c r="H7" s="11" t="s">
        <v>193</v>
      </c>
      <c r="I7" s="11" t="s">
        <v>194</v>
      </c>
      <c r="J7" s="12" t="s">
        <v>127</v>
      </c>
      <c r="K7" s="13"/>
      <c r="L7" s="13" t="s">
        <v>195</v>
      </c>
      <c r="M7" s="15" t="s">
        <v>196</v>
      </c>
      <c r="N7" s="15" t="s">
        <v>197</v>
      </c>
      <c r="Y7" s="14">
        <v>1.8</v>
      </c>
      <c r="AA7" t="s">
        <v>198</v>
      </c>
      <c r="AB7" s="74" t="s">
        <v>199</v>
      </c>
      <c r="AC7" s="11" t="s">
        <v>200</v>
      </c>
      <c r="AD7" t="s">
        <v>138</v>
      </c>
      <c r="AG7" t="s">
        <v>201</v>
      </c>
      <c r="AH7" t="s">
        <v>923</v>
      </c>
      <c r="AL7" s="217"/>
    </row>
    <row r="8" spans="1:38" x14ac:dyDescent="0.3">
      <c r="D8" t="s">
        <v>202</v>
      </c>
      <c r="E8" t="s">
        <v>203</v>
      </c>
      <c r="G8" s="11"/>
      <c r="H8" s="11" t="s">
        <v>204</v>
      </c>
      <c r="I8" s="11" t="s">
        <v>205</v>
      </c>
      <c r="J8" s="12" t="s">
        <v>127</v>
      </c>
      <c r="K8" s="13"/>
      <c r="L8" s="13" t="s">
        <v>206</v>
      </c>
      <c r="M8" s="15" t="s">
        <v>207</v>
      </c>
      <c r="N8" s="15" t="s">
        <v>208</v>
      </c>
      <c r="Y8" s="14">
        <v>2</v>
      </c>
      <c r="AA8" t="s">
        <v>209</v>
      </c>
      <c r="AB8" s="74" t="s">
        <v>210</v>
      </c>
      <c r="AC8" s="11" t="s">
        <v>211</v>
      </c>
      <c r="AD8" t="s">
        <v>138</v>
      </c>
      <c r="AG8" t="s">
        <v>212</v>
      </c>
      <c r="AH8" t="s">
        <v>924</v>
      </c>
      <c r="AL8" s="217"/>
    </row>
    <row r="9" spans="1:38" x14ac:dyDescent="0.3">
      <c r="D9" t="s">
        <v>213</v>
      </c>
      <c r="E9" t="s">
        <v>214</v>
      </c>
      <c r="G9" s="11"/>
      <c r="H9" s="16" t="s">
        <v>215</v>
      </c>
      <c r="I9" s="11" t="s">
        <v>216</v>
      </c>
      <c r="J9" s="12" t="s">
        <v>127</v>
      </c>
      <c r="K9" s="13"/>
      <c r="L9" s="13" t="s">
        <v>217</v>
      </c>
      <c r="M9" s="15" t="s">
        <v>218</v>
      </c>
      <c r="N9" s="15" t="s">
        <v>219</v>
      </c>
      <c r="Y9" s="14">
        <v>2.2000000000000002</v>
      </c>
      <c r="AA9" t="s">
        <v>220</v>
      </c>
      <c r="AB9" s="75" t="s">
        <v>221</v>
      </c>
      <c r="AC9" s="11" t="s">
        <v>222</v>
      </c>
      <c r="AD9" t="s">
        <v>138</v>
      </c>
      <c r="AG9" t="s">
        <v>223</v>
      </c>
      <c r="AH9" t="s">
        <v>925</v>
      </c>
      <c r="AL9" s="217"/>
    </row>
    <row r="10" spans="1:38" x14ac:dyDescent="0.3">
      <c r="D10" t="s">
        <v>224</v>
      </c>
      <c r="E10" t="s">
        <v>225</v>
      </c>
      <c r="G10" s="11"/>
      <c r="H10" s="11" t="s">
        <v>226</v>
      </c>
      <c r="I10" s="11" t="s">
        <v>227</v>
      </c>
      <c r="J10" s="12" t="s">
        <v>127</v>
      </c>
      <c r="K10" s="13"/>
      <c r="L10" s="17" t="s">
        <v>228</v>
      </c>
      <c r="M10" s="15" t="s">
        <v>229</v>
      </c>
      <c r="N10" s="15" t="s">
        <v>230</v>
      </c>
      <c r="Y10" s="14">
        <v>2.4</v>
      </c>
      <c r="AA10" t="s">
        <v>231</v>
      </c>
      <c r="AB10" s="74" t="s">
        <v>232</v>
      </c>
      <c r="AC10" s="11" t="s">
        <v>233</v>
      </c>
      <c r="AD10" t="s">
        <v>138</v>
      </c>
      <c r="AG10" t="s">
        <v>234</v>
      </c>
      <c r="AH10" t="s">
        <v>926</v>
      </c>
      <c r="AL10" s="217"/>
    </row>
    <row r="11" spans="1:38" x14ac:dyDescent="0.3">
      <c r="D11" t="s">
        <v>235</v>
      </c>
      <c r="E11" t="s">
        <v>236</v>
      </c>
      <c r="G11" s="11"/>
      <c r="H11" s="11" t="s">
        <v>237</v>
      </c>
      <c r="I11" s="11" t="s">
        <v>238</v>
      </c>
      <c r="J11" s="12" t="s">
        <v>127</v>
      </c>
      <c r="K11" s="13"/>
      <c r="L11" s="13" t="s">
        <v>239</v>
      </c>
      <c r="M11" s="15" t="s">
        <v>240</v>
      </c>
      <c r="N11" s="15" t="s">
        <v>241</v>
      </c>
      <c r="Y11" s="14">
        <v>2.6</v>
      </c>
      <c r="AA11" t="s">
        <v>242</v>
      </c>
      <c r="AB11" s="74" t="s">
        <v>243</v>
      </c>
      <c r="AC11" s="11" t="s">
        <v>244</v>
      </c>
      <c r="AD11" t="s">
        <v>138</v>
      </c>
      <c r="AG11" t="s">
        <v>245</v>
      </c>
      <c r="AH11" t="s">
        <v>927</v>
      </c>
      <c r="AL11" s="217"/>
    </row>
    <row r="12" spans="1:38" x14ac:dyDescent="0.3">
      <c r="D12" t="s">
        <v>246</v>
      </c>
      <c r="E12" t="s">
        <v>247</v>
      </c>
      <c r="G12" s="11"/>
      <c r="H12" s="11" t="s">
        <v>248</v>
      </c>
      <c r="I12" s="11" t="s">
        <v>249</v>
      </c>
      <c r="J12" s="12" t="s">
        <v>127</v>
      </c>
      <c r="K12" s="13"/>
      <c r="L12" s="13" t="s">
        <v>250</v>
      </c>
      <c r="M12" s="15" t="s">
        <v>251</v>
      </c>
      <c r="N12" s="15" t="s">
        <v>252</v>
      </c>
      <c r="Y12" s="14">
        <v>2.8</v>
      </c>
      <c r="AB12" s="74" t="s">
        <v>253</v>
      </c>
      <c r="AC12" s="11" t="s">
        <v>254</v>
      </c>
      <c r="AD12" t="s">
        <v>255</v>
      </c>
      <c r="AG12" t="s">
        <v>256</v>
      </c>
      <c r="AH12" t="s">
        <v>928</v>
      </c>
      <c r="AL12" s="217"/>
    </row>
    <row r="13" spans="1:38" x14ac:dyDescent="0.3">
      <c r="D13" t="s">
        <v>257</v>
      </c>
      <c r="E13" t="s">
        <v>258</v>
      </c>
      <c r="G13" s="11"/>
      <c r="H13" s="13" t="s">
        <v>259</v>
      </c>
      <c r="I13" s="13" t="s">
        <v>260</v>
      </c>
      <c r="J13" s="12" t="s">
        <v>127</v>
      </c>
      <c r="K13" s="13"/>
      <c r="L13" s="13" t="s">
        <v>60</v>
      </c>
      <c r="M13" s="15" t="s">
        <v>261</v>
      </c>
      <c r="N13" s="15" t="s">
        <v>262</v>
      </c>
      <c r="AB13" s="76" t="s">
        <v>263</v>
      </c>
      <c r="AC13" s="13" t="s">
        <v>264</v>
      </c>
      <c r="AD13" t="s">
        <v>138</v>
      </c>
      <c r="AG13" t="s">
        <v>265</v>
      </c>
      <c r="AH13" s="227"/>
      <c r="AL13" s="217"/>
    </row>
    <row r="14" spans="1:38" x14ac:dyDescent="0.3">
      <c r="D14" t="s">
        <v>266</v>
      </c>
      <c r="E14" t="s">
        <v>267</v>
      </c>
      <c r="G14" s="11"/>
      <c r="H14" s="13" t="s">
        <v>268</v>
      </c>
      <c r="I14" s="17" t="s">
        <v>269</v>
      </c>
      <c r="J14" s="12" t="s">
        <v>127</v>
      </c>
      <c r="M14" s="15" t="s">
        <v>270</v>
      </c>
      <c r="N14" s="15" t="s">
        <v>271</v>
      </c>
      <c r="AB14" s="76" t="s">
        <v>272</v>
      </c>
      <c r="AC14" s="17" t="s">
        <v>273</v>
      </c>
      <c r="AD14" t="s">
        <v>255</v>
      </c>
      <c r="AG14" t="s">
        <v>274</v>
      </c>
      <c r="AH14" s="227"/>
      <c r="AL14" s="217"/>
    </row>
    <row r="15" spans="1:38" x14ac:dyDescent="0.3">
      <c r="D15" t="s">
        <v>275</v>
      </c>
      <c r="E15" t="s">
        <v>276</v>
      </c>
      <c r="G15" s="11"/>
      <c r="H15" s="13" t="s">
        <v>277</v>
      </c>
      <c r="I15" s="17" t="s">
        <v>278</v>
      </c>
      <c r="J15" s="12" t="s">
        <v>127</v>
      </c>
      <c r="M15" s="15" t="s">
        <v>279</v>
      </c>
      <c r="N15" s="15" t="s">
        <v>280</v>
      </c>
      <c r="AB15" s="76" t="s">
        <v>281</v>
      </c>
      <c r="AC15" s="17" t="s">
        <v>282</v>
      </c>
      <c r="AD15" t="s">
        <v>255</v>
      </c>
      <c r="AG15" t="s">
        <v>283</v>
      </c>
      <c r="AH15" s="227"/>
      <c r="AL15" s="217"/>
    </row>
    <row r="16" spans="1:38" x14ac:dyDescent="0.3">
      <c r="D16" t="s">
        <v>284</v>
      </c>
      <c r="E16" t="s">
        <v>285</v>
      </c>
      <c r="G16" s="11"/>
      <c r="H16" s="13" t="s">
        <v>286</v>
      </c>
      <c r="I16" s="13" t="s">
        <v>287</v>
      </c>
      <c r="J16" s="12" t="s">
        <v>127</v>
      </c>
      <c r="AB16" s="76" t="s">
        <v>288</v>
      </c>
      <c r="AC16" s="13" t="s">
        <v>289</v>
      </c>
      <c r="AD16" t="s">
        <v>128</v>
      </c>
      <c r="AG16" t="s">
        <v>290</v>
      </c>
      <c r="AH16" s="227"/>
      <c r="AL16" s="217"/>
    </row>
    <row r="17" spans="1:38" x14ac:dyDescent="0.3">
      <c r="G17" s="11"/>
      <c r="H17" s="13" t="s">
        <v>291</v>
      </c>
      <c r="I17" s="17" t="s">
        <v>292</v>
      </c>
      <c r="J17" s="12" t="s">
        <v>127</v>
      </c>
      <c r="AB17" s="76" t="s">
        <v>293</v>
      </c>
      <c r="AC17" s="13" t="s">
        <v>294</v>
      </c>
      <c r="AD17" t="s">
        <v>128</v>
      </c>
      <c r="AG17" t="s">
        <v>295</v>
      </c>
      <c r="AH17" s="227"/>
      <c r="AL17" s="217"/>
    </row>
    <row r="18" spans="1:38" x14ac:dyDescent="0.3">
      <c r="D18" t="s">
        <v>296</v>
      </c>
      <c r="E18" t="s">
        <v>297</v>
      </c>
      <c r="G18" s="11"/>
      <c r="H18" s="13" t="s">
        <v>298</v>
      </c>
      <c r="I18" s="17" t="s">
        <v>299</v>
      </c>
      <c r="J18" s="12" t="s">
        <v>127</v>
      </c>
      <c r="AB18" s="76" t="s">
        <v>300</v>
      </c>
      <c r="AC18" s="17" t="s">
        <v>301</v>
      </c>
      <c r="AD18" t="s">
        <v>128</v>
      </c>
      <c r="AG18" t="s">
        <v>302</v>
      </c>
      <c r="AH18" s="227"/>
      <c r="AL18" s="217"/>
    </row>
    <row r="19" spans="1:38" x14ac:dyDescent="0.3">
      <c r="D19" t="s">
        <v>303</v>
      </c>
      <c r="E19" t="s">
        <v>304</v>
      </c>
      <c r="G19" s="11"/>
      <c r="H19" s="13" t="s">
        <v>305</v>
      </c>
      <c r="I19" s="17" t="s">
        <v>306</v>
      </c>
      <c r="J19" s="12" t="s">
        <v>127</v>
      </c>
      <c r="K19" s="11"/>
      <c r="AB19" s="76" t="s">
        <v>307</v>
      </c>
      <c r="AC19" s="17" t="s">
        <v>308</v>
      </c>
      <c r="AD19" t="s">
        <v>128</v>
      </c>
      <c r="AG19" t="s">
        <v>309</v>
      </c>
      <c r="AH19" s="227"/>
      <c r="AL19" s="217"/>
    </row>
    <row r="20" spans="1:38" x14ac:dyDescent="0.3">
      <c r="D20" t="s">
        <v>310</v>
      </c>
      <c r="E20" t="s">
        <v>311</v>
      </c>
      <c r="G20" s="11"/>
      <c r="H20" s="13" t="s">
        <v>312</v>
      </c>
      <c r="I20" s="17" t="s">
        <v>313</v>
      </c>
      <c r="J20" s="12" t="s">
        <v>127</v>
      </c>
      <c r="K20" s="11"/>
      <c r="AB20" s="76" t="s">
        <v>314</v>
      </c>
      <c r="AC20" s="17" t="s">
        <v>315</v>
      </c>
      <c r="AD20" t="s">
        <v>128</v>
      </c>
      <c r="AG20" t="s">
        <v>316</v>
      </c>
      <c r="AH20" s="227"/>
      <c r="AL20" s="217"/>
    </row>
    <row r="21" spans="1:38" x14ac:dyDescent="0.3">
      <c r="D21" t="s">
        <v>317</v>
      </c>
      <c r="E21" t="s">
        <v>318</v>
      </c>
      <c r="G21" s="11"/>
      <c r="H21" s="13" t="s">
        <v>319</v>
      </c>
      <c r="I21" s="17" t="s">
        <v>320</v>
      </c>
      <c r="J21" s="12" t="s">
        <v>127</v>
      </c>
      <c r="K21" s="11"/>
      <c r="AB21" s="76" t="s">
        <v>321</v>
      </c>
      <c r="AC21" s="17" t="s">
        <v>322</v>
      </c>
      <c r="AD21" t="s">
        <v>128</v>
      </c>
      <c r="AG21" t="s">
        <v>323</v>
      </c>
      <c r="AH21" s="227"/>
      <c r="AL21" s="217"/>
    </row>
    <row r="22" spans="1:38" x14ac:dyDescent="0.3">
      <c r="D22" t="s">
        <v>324</v>
      </c>
      <c r="E22" t="s">
        <v>325</v>
      </c>
      <c r="G22" s="11"/>
      <c r="H22" s="13" t="s">
        <v>326</v>
      </c>
      <c r="I22" s="17" t="s">
        <v>327</v>
      </c>
      <c r="J22" s="12" t="s">
        <v>127</v>
      </c>
      <c r="K22" s="11"/>
      <c r="AB22" s="76" t="s">
        <v>328</v>
      </c>
      <c r="AC22" s="17" t="s">
        <v>329</v>
      </c>
      <c r="AD22" t="s">
        <v>128</v>
      </c>
      <c r="AG22" t="s">
        <v>330</v>
      </c>
      <c r="AH22" s="227"/>
      <c r="AL22" s="217"/>
    </row>
    <row r="23" spans="1:38" x14ac:dyDescent="0.3">
      <c r="D23" t="s">
        <v>331</v>
      </c>
      <c r="E23" t="s">
        <v>332</v>
      </c>
      <c r="G23" s="11"/>
      <c r="H23" s="13" t="s">
        <v>333</v>
      </c>
      <c r="I23" s="17" t="s">
        <v>334</v>
      </c>
      <c r="J23" s="12" t="s">
        <v>127</v>
      </c>
      <c r="K23" s="11"/>
      <c r="AB23" s="76" t="s">
        <v>335</v>
      </c>
      <c r="AC23" s="17" t="s">
        <v>336</v>
      </c>
      <c r="AD23" t="s">
        <v>128</v>
      </c>
      <c r="AG23" t="s">
        <v>337</v>
      </c>
      <c r="AH23" s="227"/>
      <c r="AL23" s="217"/>
    </row>
    <row r="24" spans="1:38" x14ac:dyDescent="0.3">
      <c r="D24" t="s">
        <v>338</v>
      </c>
      <c r="E24" t="s">
        <v>339</v>
      </c>
      <c r="G24" s="11"/>
      <c r="H24" s="13" t="s">
        <v>55</v>
      </c>
      <c r="I24" s="17" t="s">
        <v>340</v>
      </c>
      <c r="J24" s="12" t="s">
        <v>127</v>
      </c>
      <c r="K24" s="11"/>
      <c r="AB24" s="76" t="s">
        <v>341</v>
      </c>
      <c r="AC24" s="17" t="s">
        <v>342</v>
      </c>
      <c r="AD24" t="s">
        <v>128</v>
      </c>
      <c r="AG24" t="s">
        <v>343</v>
      </c>
      <c r="AH24" s="227"/>
      <c r="AL24" s="217"/>
    </row>
    <row r="25" spans="1:38" x14ac:dyDescent="0.3">
      <c r="D25" t="s">
        <v>344</v>
      </c>
      <c r="E25" t="s">
        <v>345</v>
      </c>
      <c r="G25" s="11"/>
      <c r="H25" s="17" t="s">
        <v>346</v>
      </c>
      <c r="I25" s="17" t="s">
        <v>347</v>
      </c>
      <c r="J25" s="12" t="s">
        <v>127</v>
      </c>
      <c r="K25" s="11"/>
      <c r="AB25" s="76" t="s">
        <v>348</v>
      </c>
      <c r="AC25" s="17" t="s">
        <v>349</v>
      </c>
      <c r="AD25" t="s">
        <v>128</v>
      </c>
      <c r="AH25" s="227"/>
      <c r="AL25" s="217"/>
    </row>
    <row r="26" spans="1:38" x14ac:dyDescent="0.3">
      <c r="D26" t="s">
        <v>351</v>
      </c>
      <c r="E26" t="s">
        <v>352</v>
      </c>
      <c r="G26" s="11"/>
      <c r="H26" s="13" t="s">
        <v>353</v>
      </c>
      <c r="I26" s="17" t="s">
        <v>354</v>
      </c>
      <c r="J26" s="12" t="s">
        <v>127</v>
      </c>
      <c r="K26" s="11"/>
      <c r="AB26" s="76" t="s">
        <v>355</v>
      </c>
      <c r="AC26" s="17" t="s">
        <v>356</v>
      </c>
      <c r="AD26" t="s">
        <v>128</v>
      </c>
      <c r="AH26" s="227"/>
      <c r="AL26" s="217"/>
    </row>
    <row r="27" spans="1:38" x14ac:dyDescent="0.3">
      <c r="D27" t="s">
        <v>357</v>
      </c>
      <c r="E27" t="s">
        <v>358</v>
      </c>
      <c r="G27" s="11"/>
      <c r="H27" s="13" t="s">
        <v>359</v>
      </c>
      <c r="I27" s="17" t="s">
        <v>360</v>
      </c>
      <c r="J27" s="12" t="s">
        <v>127</v>
      </c>
      <c r="K27" s="11"/>
      <c r="AB27" s="76" t="s">
        <v>361</v>
      </c>
      <c r="AC27" s="17" t="s">
        <v>362</v>
      </c>
      <c r="AD27" t="s">
        <v>128</v>
      </c>
      <c r="AH27" s="227"/>
      <c r="AL27" s="217"/>
    </row>
    <row r="28" spans="1:38" x14ac:dyDescent="0.3">
      <c r="D28" t="s">
        <v>363</v>
      </c>
      <c r="E28" t="s">
        <v>364</v>
      </c>
      <c r="G28" s="11"/>
      <c r="H28" s="13" t="s">
        <v>365</v>
      </c>
      <c r="I28" s="17" t="s">
        <v>366</v>
      </c>
      <c r="J28" s="12" t="s">
        <v>127</v>
      </c>
      <c r="K28" s="11"/>
      <c r="AB28" s="76" t="s">
        <v>367</v>
      </c>
      <c r="AC28" s="17" t="s">
        <v>368</v>
      </c>
      <c r="AD28" t="s">
        <v>128</v>
      </c>
      <c r="AH28" s="227"/>
      <c r="AL28" s="217"/>
    </row>
    <row r="29" spans="1:38" x14ac:dyDescent="0.3">
      <c r="D29" t="s">
        <v>369</v>
      </c>
      <c r="E29" t="s">
        <v>370</v>
      </c>
      <c r="G29" s="11"/>
      <c r="H29" s="13" t="s">
        <v>371</v>
      </c>
      <c r="I29" s="17" t="s">
        <v>372</v>
      </c>
      <c r="J29" s="12" t="s">
        <v>127</v>
      </c>
      <c r="K29" s="11"/>
      <c r="AB29" s="76" t="s">
        <v>373</v>
      </c>
      <c r="AC29" s="17" t="s">
        <v>374</v>
      </c>
      <c r="AD29" t="s">
        <v>128</v>
      </c>
      <c r="AH29" s="227"/>
      <c r="AL29" s="217"/>
    </row>
    <row r="30" spans="1:38" x14ac:dyDescent="0.3">
      <c r="D30" t="s">
        <v>375</v>
      </c>
      <c r="E30" t="s">
        <v>376</v>
      </c>
      <c r="G30" s="11"/>
      <c r="H30" s="13" t="s">
        <v>377</v>
      </c>
      <c r="I30" s="17" t="s">
        <v>378</v>
      </c>
      <c r="J30" s="12" t="s">
        <v>127</v>
      </c>
      <c r="K30" s="11"/>
      <c r="AB30" s="76" t="s">
        <v>379</v>
      </c>
      <c r="AC30" s="17" t="s">
        <v>380</v>
      </c>
      <c r="AD30" t="s">
        <v>128</v>
      </c>
      <c r="AH30" s="227"/>
      <c r="AL30" s="217"/>
    </row>
    <row r="31" spans="1:38" x14ac:dyDescent="0.3">
      <c r="D31" t="s">
        <v>381</v>
      </c>
      <c r="E31" t="s">
        <v>382</v>
      </c>
      <c r="G31" s="11"/>
      <c r="H31" s="13" t="s">
        <v>383</v>
      </c>
      <c r="I31" s="17" t="s">
        <v>384</v>
      </c>
      <c r="J31" s="12" t="s">
        <v>127</v>
      </c>
      <c r="K31" s="11"/>
      <c r="AB31" s="76" t="s">
        <v>385</v>
      </c>
      <c r="AC31" s="17" t="s">
        <v>386</v>
      </c>
      <c r="AD31" t="s">
        <v>128</v>
      </c>
      <c r="AH31" s="227"/>
      <c r="AL31" s="217"/>
    </row>
    <row r="32" spans="1:38" x14ac:dyDescent="0.3">
      <c r="D32" t="s">
        <v>387</v>
      </c>
      <c r="E32" t="s">
        <v>388</v>
      </c>
      <c r="G32" s="11"/>
      <c r="H32" s="13" t="s">
        <v>389</v>
      </c>
      <c r="I32" s="17" t="s">
        <v>390</v>
      </c>
      <c r="J32" s="12" t="s">
        <v>127</v>
      </c>
      <c r="K32" s="11"/>
      <c r="AB32" s="76" t="s">
        <v>391</v>
      </c>
      <c r="AC32" s="17" t="s">
        <v>392</v>
      </c>
      <c r="AD32" t="s">
        <v>128</v>
      </c>
      <c r="AH32" s="227"/>
      <c r="AL32" s="217"/>
    </row>
    <row r="33" spans="4:38" x14ac:dyDescent="0.3">
      <c r="D33" t="s">
        <v>393</v>
      </c>
      <c r="E33" t="s">
        <v>394</v>
      </c>
      <c r="G33" s="11"/>
      <c r="H33" s="13" t="s">
        <v>395</v>
      </c>
      <c r="I33" s="17" t="s">
        <v>396</v>
      </c>
      <c r="J33" s="12" t="s">
        <v>127</v>
      </c>
      <c r="K33" s="11"/>
      <c r="AB33" s="76" t="s">
        <v>397</v>
      </c>
      <c r="AC33" s="17" t="s">
        <v>398</v>
      </c>
      <c r="AD33" t="s">
        <v>128</v>
      </c>
      <c r="AH33" s="227"/>
      <c r="AL33" s="217"/>
    </row>
    <row r="34" spans="4:38" x14ac:dyDescent="0.3">
      <c r="D34" t="s">
        <v>399</v>
      </c>
      <c r="E34" t="s">
        <v>400</v>
      </c>
      <c r="G34" s="11"/>
      <c r="H34" s="13" t="s">
        <v>401</v>
      </c>
      <c r="I34" s="17" t="s">
        <v>402</v>
      </c>
      <c r="J34" s="12" t="s">
        <v>127</v>
      </c>
      <c r="K34" s="11"/>
      <c r="AB34" s="76" t="s">
        <v>403</v>
      </c>
      <c r="AC34" s="17" t="s">
        <v>404</v>
      </c>
      <c r="AD34" t="s">
        <v>128</v>
      </c>
    </row>
    <row r="35" spans="4:38" x14ac:dyDescent="0.3">
      <c r="G35" s="11"/>
      <c r="H35" s="13" t="s">
        <v>405</v>
      </c>
      <c r="I35" s="17" t="s">
        <v>406</v>
      </c>
      <c r="J35" s="12" t="s">
        <v>127</v>
      </c>
      <c r="K35" s="11"/>
      <c r="AB35" s="76" t="s">
        <v>407</v>
      </c>
      <c r="AC35" s="17" t="s">
        <v>408</v>
      </c>
      <c r="AD35" t="s">
        <v>128</v>
      </c>
    </row>
    <row r="36" spans="4:38" x14ac:dyDescent="0.3">
      <c r="D36" t="s">
        <v>409</v>
      </c>
      <c r="E36" t="s">
        <v>410</v>
      </c>
      <c r="G36" s="11"/>
      <c r="H36" s="13" t="s">
        <v>411</v>
      </c>
      <c r="I36" s="17" t="s">
        <v>412</v>
      </c>
      <c r="J36" s="12" t="s">
        <v>127</v>
      </c>
      <c r="K36" s="11"/>
      <c r="AB36" s="76" t="s">
        <v>413</v>
      </c>
      <c r="AC36" s="17" t="s">
        <v>414</v>
      </c>
      <c r="AD36" t="s">
        <v>128</v>
      </c>
    </row>
    <row r="37" spans="4:38" x14ac:dyDescent="0.3">
      <c r="D37" t="s">
        <v>415</v>
      </c>
      <c r="E37" t="s">
        <v>416</v>
      </c>
      <c r="G37" s="11"/>
      <c r="H37" s="13" t="s">
        <v>417</v>
      </c>
      <c r="I37" s="17" t="s">
        <v>418</v>
      </c>
      <c r="J37" s="12" t="s">
        <v>127</v>
      </c>
      <c r="K37" s="11"/>
      <c r="AB37" s="76" t="s">
        <v>419</v>
      </c>
      <c r="AC37" s="17" t="s">
        <v>420</v>
      </c>
      <c r="AD37" t="s">
        <v>128</v>
      </c>
    </row>
    <row r="38" spans="4:38" x14ac:dyDescent="0.3">
      <c r="D38" t="s">
        <v>421</v>
      </c>
      <c r="E38" t="s">
        <v>422</v>
      </c>
      <c r="G38" s="11"/>
      <c r="H38" s="13" t="s">
        <v>423</v>
      </c>
      <c r="I38" s="17" t="s">
        <v>424</v>
      </c>
      <c r="J38" s="12" t="s">
        <v>127</v>
      </c>
      <c r="K38" s="11"/>
      <c r="AB38" s="76" t="s">
        <v>425</v>
      </c>
      <c r="AC38" s="17" t="s">
        <v>426</v>
      </c>
      <c r="AD38" t="s">
        <v>128</v>
      </c>
    </row>
    <row r="39" spans="4:38" x14ac:dyDescent="0.3">
      <c r="D39" t="s">
        <v>427</v>
      </c>
      <c r="E39" t="s">
        <v>428</v>
      </c>
      <c r="G39" s="11"/>
      <c r="H39" s="13" t="s">
        <v>429</v>
      </c>
      <c r="I39" s="17" t="s">
        <v>430</v>
      </c>
      <c r="J39" s="12" t="s">
        <v>127</v>
      </c>
      <c r="K39" s="11"/>
      <c r="AB39" s="76" t="s">
        <v>431</v>
      </c>
      <c r="AC39" s="17" t="s">
        <v>432</v>
      </c>
      <c r="AD39" t="s">
        <v>128</v>
      </c>
      <c r="AH39" s="10"/>
    </row>
    <row r="40" spans="4:38" x14ac:dyDescent="0.3">
      <c r="D40" t="s">
        <v>433</v>
      </c>
      <c r="E40" t="s">
        <v>434</v>
      </c>
      <c r="G40" s="11"/>
      <c r="H40" s="13" t="s">
        <v>435</v>
      </c>
      <c r="I40" s="17" t="s">
        <v>436</v>
      </c>
      <c r="J40" s="12" t="s">
        <v>127</v>
      </c>
      <c r="K40" s="11"/>
      <c r="AB40" s="76" t="s">
        <v>437</v>
      </c>
      <c r="AC40" s="17" t="s">
        <v>438</v>
      </c>
      <c r="AD40" t="s">
        <v>255</v>
      </c>
      <c r="AH40" s="10"/>
    </row>
    <row r="41" spans="4:38" x14ac:dyDescent="0.3">
      <c r="D41" t="s">
        <v>439</v>
      </c>
      <c r="E41" t="s">
        <v>440</v>
      </c>
      <c r="H41" s="13" t="s">
        <v>441</v>
      </c>
      <c r="I41" s="17" t="s">
        <v>442</v>
      </c>
      <c r="J41" s="12" t="s">
        <v>127</v>
      </c>
      <c r="AB41" s="76" t="s">
        <v>443</v>
      </c>
      <c r="AC41" s="17" t="s">
        <v>444</v>
      </c>
      <c r="AD41" t="s">
        <v>255</v>
      </c>
      <c r="AH41" s="10"/>
    </row>
    <row r="42" spans="4:38" x14ac:dyDescent="0.3">
      <c r="D42" t="s">
        <v>445</v>
      </c>
      <c r="E42" t="s">
        <v>446</v>
      </c>
      <c r="H42" s="13" t="s">
        <v>447</v>
      </c>
      <c r="I42" s="17" t="s">
        <v>448</v>
      </c>
      <c r="J42" s="12" t="s">
        <v>127</v>
      </c>
      <c r="AB42" s="76" t="s">
        <v>449</v>
      </c>
      <c r="AC42" s="17" t="s">
        <v>450</v>
      </c>
      <c r="AD42" t="s">
        <v>255</v>
      </c>
    </row>
    <row r="43" spans="4:38" x14ac:dyDescent="0.3">
      <c r="D43" t="s">
        <v>451</v>
      </c>
      <c r="E43" t="s">
        <v>452</v>
      </c>
      <c r="H43" s="13" t="s">
        <v>453</v>
      </c>
      <c r="I43" s="17" t="s">
        <v>454</v>
      </c>
      <c r="J43" s="12" t="s">
        <v>127</v>
      </c>
      <c r="AB43" s="76" t="s">
        <v>455</v>
      </c>
      <c r="AC43" s="17" t="s">
        <v>456</v>
      </c>
      <c r="AD43" t="s">
        <v>255</v>
      </c>
    </row>
    <row r="44" spans="4:38" x14ac:dyDescent="0.3">
      <c r="D44" t="s">
        <v>457</v>
      </c>
      <c r="E44" t="s">
        <v>458</v>
      </c>
      <c r="H44" s="13" t="s">
        <v>459</v>
      </c>
      <c r="I44" s="17" t="s">
        <v>460</v>
      </c>
      <c r="J44" s="12" t="s">
        <v>127</v>
      </c>
      <c r="AB44" s="76" t="s">
        <v>461</v>
      </c>
      <c r="AC44" s="17" t="s">
        <v>462</v>
      </c>
      <c r="AD44" t="s">
        <v>255</v>
      </c>
    </row>
    <row r="45" spans="4:38" x14ac:dyDescent="0.3">
      <c r="D45" t="s">
        <v>463</v>
      </c>
      <c r="E45" t="s">
        <v>464</v>
      </c>
      <c r="H45" s="13" t="s">
        <v>465</v>
      </c>
      <c r="I45" s="17" t="s">
        <v>466</v>
      </c>
      <c r="J45" s="12" t="s">
        <v>127</v>
      </c>
      <c r="AB45" s="76" t="s">
        <v>467</v>
      </c>
      <c r="AC45" s="17" t="s">
        <v>468</v>
      </c>
      <c r="AD45" t="s">
        <v>255</v>
      </c>
    </row>
    <row r="46" spans="4:38" x14ac:dyDescent="0.3">
      <c r="H46" s="13" t="s">
        <v>469</v>
      </c>
      <c r="I46" s="17" t="s">
        <v>470</v>
      </c>
      <c r="J46" s="12" t="s">
        <v>127</v>
      </c>
      <c r="AB46" s="76" t="s">
        <v>471</v>
      </c>
      <c r="AC46" s="17" t="s">
        <v>472</v>
      </c>
      <c r="AD46" t="s">
        <v>255</v>
      </c>
    </row>
    <row r="47" spans="4:38" x14ac:dyDescent="0.3">
      <c r="D47" t="s">
        <v>473</v>
      </c>
      <c r="E47" t="s">
        <v>474</v>
      </c>
      <c r="H47" s="13" t="s">
        <v>475</v>
      </c>
      <c r="I47" s="17" t="s">
        <v>476</v>
      </c>
      <c r="J47" s="12" t="s">
        <v>127</v>
      </c>
      <c r="AB47" s="76" t="s">
        <v>477</v>
      </c>
      <c r="AC47" s="17" t="s">
        <v>478</v>
      </c>
      <c r="AD47" t="s">
        <v>255</v>
      </c>
    </row>
    <row r="48" spans="4:38" x14ac:dyDescent="0.3">
      <c r="D48" t="s">
        <v>479</v>
      </c>
      <c r="E48" t="s">
        <v>480</v>
      </c>
      <c r="H48" s="13" t="s">
        <v>481</v>
      </c>
      <c r="I48" s="17" t="s">
        <v>482</v>
      </c>
      <c r="J48" s="12" t="s">
        <v>127</v>
      </c>
      <c r="AB48" s="76" t="s">
        <v>483</v>
      </c>
      <c r="AC48" s="17" t="s">
        <v>484</v>
      </c>
      <c r="AD48" t="s">
        <v>255</v>
      </c>
    </row>
    <row r="49" spans="4:30" x14ac:dyDescent="0.3">
      <c r="D49" t="s">
        <v>485</v>
      </c>
      <c r="E49" t="s">
        <v>486</v>
      </c>
      <c r="H49" s="13" t="s">
        <v>487</v>
      </c>
      <c r="I49" s="17" t="s">
        <v>488</v>
      </c>
      <c r="J49" s="12" t="s">
        <v>127</v>
      </c>
      <c r="AB49" s="76" t="s">
        <v>489</v>
      </c>
      <c r="AC49" s="17" t="s">
        <v>490</v>
      </c>
      <c r="AD49" t="s">
        <v>255</v>
      </c>
    </row>
    <row r="50" spans="4:30" x14ac:dyDescent="0.3">
      <c r="D50" t="s">
        <v>491</v>
      </c>
      <c r="E50" t="s">
        <v>492</v>
      </c>
      <c r="H50" s="13" t="s">
        <v>493</v>
      </c>
      <c r="I50" s="17" t="s">
        <v>494</v>
      </c>
      <c r="J50" s="12" t="s">
        <v>127</v>
      </c>
      <c r="AB50" s="76" t="s">
        <v>495</v>
      </c>
      <c r="AC50" s="17" t="s">
        <v>496</v>
      </c>
      <c r="AD50" t="s">
        <v>138</v>
      </c>
    </row>
    <row r="51" spans="4:30" x14ac:dyDescent="0.3">
      <c r="D51" t="s">
        <v>497</v>
      </c>
      <c r="E51" t="s">
        <v>498</v>
      </c>
      <c r="H51" s="13" t="s">
        <v>499</v>
      </c>
      <c r="I51" s="17" t="s">
        <v>500</v>
      </c>
      <c r="J51" s="12" t="s">
        <v>127</v>
      </c>
      <c r="AB51" s="76" t="s">
        <v>501</v>
      </c>
      <c r="AC51" s="17" t="s">
        <v>502</v>
      </c>
      <c r="AD51" t="s">
        <v>138</v>
      </c>
    </row>
    <row r="52" spans="4:30" x14ac:dyDescent="0.3">
      <c r="H52" s="13" t="s">
        <v>503</v>
      </c>
      <c r="I52" s="17" t="s">
        <v>504</v>
      </c>
      <c r="J52" s="12" t="s">
        <v>127</v>
      </c>
      <c r="AB52" s="76" t="s">
        <v>505</v>
      </c>
      <c r="AC52" s="17" t="s">
        <v>506</v>
      </c>
      <c r="AD52" t="s">
        <v>138</v>
      </c>
    </row>
    <row r="53" spans="4:30" x14ac:dyDescent="0.3">
      <c r="D53" t="s">
        <v>507</v>
      </c>
      <c r="E53" t="s">
        <v>508</v>
      </c>
      <c r="H53" s="13" t="s">
        <v>509</v>
      </c>
      <c r="I53" s="17" t="s">
        <v>510</v>
      </c>
      <c r="J53" s="19" t="s">
        <v>127</v>
      </c>
      <c r="AB53" s="76" t="s">
        <v>511</v>
      </c>
      <c r="AC53" s="17" t="s">
        <v>512</v>
      </c>
      <c r="AD53" t="s">
        <v>138</v>
      </c>
    </row>
    <row r="54" spans="4:30" x14ac:dyDescent="0.3">
      <c r="D54" t="s">
        <v>513</v>
      </c>
      <c r="E54" t="s">
        <v>514</v>
      </c>
      <c r="H54" s="13" t="s">
        <v>515</v>
      </c>
      <c r="I54" s="17" t="s">
        <v>516</v>
      </c>
      <c r="J54" s="19" t="s">
        <v>127</v>
      </c>
      <c r="AB54" s="76" t="s">
        <v>517</v>
      </c>
      <c r="AC54" s="17" t="s">
        <v>518</v>
      </c>
      <c r="AD54" t="s">
        <v>138</v>
      </c>
    </row>
    <row r="55" spans="4:30" x14ac:dyDescent="0.3">
      <c r="D55" t="s">
        <v>519</v>
      </c>
      <c r="E55" t="s">
        <v>520</v>
      </c>
      <c r="H55" s="13" t="s">
        <v>521</v>
      </c>
      <c r="I55" s="17" t="s">
        <v>522</v>
      </c>
      <c r="J55" s="19" t="s">
        <v>127</v>
      </c>
      <c r="AB55" s="76" t="s">
        <v>523</v>
      </c>
      <c r="AC55" s="17" t="s">
        <v>524</v>
      </c>
      <c r="AD55" t="s">
        <v>138</v>
      </c>
    </row>
    <row r="56" spans="4:30" x14ac:dyDescent="0.3">
      <c r="D56" t="s">
        <v>525</v>
      </c>
      <c r="E56" t="s">
        <v>526</v>
      </c>
      <c r="H56" s="13" t="s">
        <v>527</v>
      </c>
      <c r="I56" s="17" t="s">
        <v>528</v>
      </c>
      <c r="J56" s="19" t="s">
        <v>127</v>
      </c>
      <c r="AB56" s="76" t="s">
        <v>529</v>
      </c>
      <c r="AC56" s="17" t="s">
        <v>530</v>
      </c>
      <c r="AD56" t="s">
        <v>255</v>
      </c>
    </row>
    <row r="57" spans="4:30" x14ac:dyDescent="0.3">
      <c r="D57" t="s">
        <v>531</v>
      </c>
      <c r="E57" t="s">
        <v>532</v>
      </c>
      <c r="H57" s="13" t="s">
        <v>533</v>
      </c>
      <c r="I57" s="17" t="s">
        <v>534</v>
      </c>
      <c r="J57" s="19" t="s">
        <v>127</v>
      </c>
      <c r="AB57" s="76" t="s">
        <v>535</v>
      </c>
      <c r="AC57" s="17" t="s">
        <v>536</v>
      </c>
      <c r="AD57" t="s">
        <v>255</v>
      </c>
    </row>
    <row r="58" spans="4:30" x14ac:dyDescent="0.3">
      <c r="D58" t="s">
        <v>537</v>
      </c>
      <c r="E58" t="s">
        <v>538</v>
      </c>
      <c r="H58" s="13" t="s">
        <v>539</v>
      </c>
      <c r="I58" s="17" t="s">
        <v>540</v>
      </c>
      <c r="J58" s="19" t="s">
        <v>127</v>
      </c>
      <c r="AB58" s="76" t="s">
        <v>541</v>
      </c>
      <c r="AC58" s="17" t="s">
        <v>542</v>
      </c>
      <c r="AD58" t="s">
        <v>255</v>
      </c>
    </row>
    <row r="59" spans="4:30" x14ac:dyDescent="0.3">
      <c r="H59" s="13" t="s">
        <v>543</v>
      </c>
      <c r="I59" s="17" t="s">
        <v>544</v>
      </c>
      <c r="J59" s="19" t="s">
        <v>127</v>
      </c>
      <c r="AB59" s="76" t="s">
        <v>545</v>
      </c>
      <c r="AC59" s="17" t="s">
        <v>546</v>
      </c>
      <c r="AD59" t="s">
        <v>138</v>
      </c>
    </row>
    <row r="60" spans="4:30" x14ac:dyDescent="0.3">
      <c r="D60" t="s">
        <v>547</v>
      </c>
      <c r="E60" t="s">
        <v>548</v>
      </c>
      <c r="H60" s="13" t="s">
        <v>549</v>
      </c>
      <c r="I60" s="17" t="s">
        <v>550</v>
      </c>
      <c r="J60" s="19" t="s">
        <v>127</v>
      </c>
      <c r="AB60" s="76" t="s">
        <v>551</v>
      </c>
      <c r="AC60" s="17" t="s">
        <v>552</v>
      </c>
      <c r="AD60" t="s">
        <v>138</v>
      </c>
    </row>
    <row r="61" spans="4:30" x14ac:dyDescent="0.3">
      <c r="D61" t="s">
        <v>553</v>
      </c>
      <c r="E61" t="s">
        <v>548</v>
      </c>
      <c r="H61" s="17" t="s">
        <v>554</v>
      </c>
      <c r="I61" s="17" t="s">
        <v>555</v>
      </c>
      <c r="J61" s="19" t="s">
        <v>127</v>
      </c>
      <c r="AB61" s="76" t="s">
        <v>556</v>
      </c>
      <c r="AC61" s="17" t="s">
        <v>557</v>
      </c>
      <c r="AD61" t="s">
        <v>138</v>
      </c>
    </row>
    <row r="62" spans="4:30" x14ac:dyDescent="0.3">
      <c r="H62" s="13" t="s">
        <v>558</v>
      </c>
      <c r="I62" s="17" t="s">
        <v>559</v>
      </c>
      <c r="J62" s="19" t="s">
        <v>127</v>
      </c>
      <c r="AB62" s="76" t="s">
        <v>560</v>
      </c>
      <c r="AC62" s="17" t="s">
        <v>561</v>
      </c>
      <c r="AD62" t="s">
        <v>562</v>
      </c>
    </row>
    <row r="63" spans="4:30" x14ac:dyDescent="0.3">
      <c r="D63" t="s">
        <v>563</v>
      </c>
      <c r="E63" t="s">
        <v>564</v>
      </c>
      <c r="H63" s="13" t="s">
        <v>565</v>
      </c>
      <c r="I63" s="17" t="s">
        <v>566</v>
      </c>
      <c r="J63" s="19" t="s">
        <v>127</v>
      </c>
      <c r="AB63" s="76" t="s">
        <v>567</v>
      </c>
      <c r="AC63" s="17" t="s">
        <v>568</v>
      </c>
      <c r="AD63" t="s">
        <v>562</v>
      </c>
    </row>
    <row r="64" spans="4:30" x14ac:dyDescent="0.3">
      <c r="D64" t="s">
        <v>569</v>
      </c>
      <c r="E64" t="s">
        <v>570</v>
      </c>
      <c r="H64" s="13" t="s">
        <v>571</v>
      </c>
      <c r="I64" s="17" t="s">
        <v>572</v>
      </c>
      <c r="J64" s="19" t="s">
        <v>127</v>
      </c>
      <c r="AB64" s="76" t="s">
        <v>573</v>
      </c>
      <c r="AC64" s="17" t="s">
        <v>574</v>
      </c>
      <c r="AD64" t="s">
        <v>562</v>
      </c>
    </row>
    <row r="65" spans="4:30" x14ac:dyDescent="0.3">
      <c r="D65" t="s">
        <v>575</v>
      </c>
      <c r="E65" t="s">
        <v>576</v>
      </c>
      <c r="H65" s="13" t="s">
        <v>577</v>
      </c>
      <c r="I65" s="17" t="s">
        <v>578</v>
      </c>
      <c r="J65" s="19" t="s">
        <v>127</v>
      </c>
      <c r="AB65" s="77" t="s">
        <v>579</v>
      </c>
      <c r="AC65" s="17" t="s">
        <v>580</v>
      </c>
      <c r="AD65" t="s">
        <v>562</v>
      </c>
    </row>
    <row r="66" spans="4:30" x14ac:dyDescent="0.3">
      <c r="D66" t="s">
        <v>581</v>
      </c>
      <c r="E66" t="s">
        <v>582</v>
      </c>
      <c r="H66" s="13" t="s">
        <v>583</v>
      </c>
      <c r="I66" s="17" t="s">
        <v>584</v>
      </c>
      <c r="J66" s="19" t="s">
        <v>127</v>
      </c>
      <c r="AB66" s="76" t="s">
        <v>585</v>
      </c>
      <c r="AC66" s="13" t="s">
        <v>586</v>
      </c>
      <c r="AD66" t="s">
        <v>562</v>
      </c>
    </row>
    <row r="67" spans="4:30" x14ac:dyDescent="0.3">
      <c r="D67" t="s">
        <v>587</v>
      </c>
      <c r="E67" t="s">
        <v>588</v>
      </c>
      <c r="H67" s="13" t="s">
        <v>589</v>
      </c>
      <c r="I67" s="17" t="s">
        <v>590</v>
      </c>
      <c r="J67" s="19" t="s">
        <v>127</v>
      </c>
    </row>
    <row r="68" spans="4:30" x14ac:dyDescent="0.3">
      <c r="D68" t="s">
        <v>591</v>
      </c>
      <c r="E68" t="s">
        <v>592</v>
      </c>
      <c r="H68" s="13" t="s">
        <v>593</v>
      </c>
      <c r="I68" s="17" t="s">
        <v>594</v>
      </c>
      <c r="J68" s="19" t="s">
        <v>127</v>
      </c>
    </row>
    <row r="69" spans="4:30" x14ac:dyDescent="0.3">
      <c r="D69" t="s">
        <v>595</v>
      </c>
      <c r="E69" t="s">
        <v>596</v>
      </c>
      <c r="H69" s="13" t="s">
        <v>597</v>
      </c>
      <c r="I69" s="13" t="s">
        <v>598</v>
      </c>
      <c r="J69" s="18" t="s">
        <v>127</v>
      </c>
    </row>
    <row r="70" spans="4:30" x14ac:dyDescent="0.3">
      <c r="D70" s="10"/>
      <c r="E70" s="10"/>
      <c r="H70" s="13" t="s">
        <v>599</v>
      </c>
      <c r="I70" s="17" t="s">
        <v>600</v>
      </c>
      <c r="J70" s="19" t="s">
        <v>127</v>
      </c>
    </row>
    <row r="71" spans="4:30" x14ac:dyDescent="0.3">
      <c r="D71" s="10"/>
      <c r="E71" s="10"/>
      <c r="H71" s="13" t="s">
        <v>601</v>
      </c>
      <c r="I71" s="17" t="s">
        <v>602</v>
      </c>
      <c r="J71" s="19" t="s">
        <v>127</v>
      </c>
    </row>
    <row r="72" spans="4:30" x14ac:dyDescent="0.3">
      <c r="D72" s="10"/>
      <c r="E72" s="10"/>
      <c r="H72" s="13" t="s">
        <v>603</v>
      </c>
      <c r="I72" s="17" t="s">
        <v>604</v>
      </c>
      <c r="J72" s="19" t="s">
        <v>128</v>
      </c>
    </row>
    <row r="73" spans="4:30" x14ac:dyDescent="0.3">
      <c r="D73" s="10"/>
      <c r="E73" s="10"/>
      <c r="H73" s="13" t="s">
        <v>605</v>
      </c>
      <c r="I73" s="17" t="s">
        <v>606</v>
      </c>
      <c r="J73" s="19" t="s">
        <v>128</v>
      </c>
    </row>
    <row r="74" spans="4:30" x14ac:dyDescent="0.3">
      <c r="D74" s="10"/>
      <c r="E74" s="10"/>
      <c r="H74" s="13" t="s">
        <v>607</v>
      </c>
      <c r="I74" s="17" t="s">
        <v>608</v>
      </c>
      <c r="J74" s="19" t="s">
        <v>127</v>
      </c>
    </row>
    <row r="75" spans="4:30" x14ac:dyDescent="0.3">
      <c r="D75" s="10"/>
      <c r="E75" s="10"/>
      <c r="H75" s="13" t="s">
        <v>609</v>
      </c>
      <c r="I75" s="17" t="s">
        <v>610</v>
      </c>
      <c r="J75" s="19" t="s">
        <v>128</v>
      </c>
    </row>
    <row r="76" spans="4:30" x14ac:dyDescent="0.3">
      <c r="D76" s="10"/>
      <c r="E76" s="10"/>
      <c r="H76" s="13" t="s">
        <v>611</v>
      </c>
      <c r="I76" s="17" t="s">
        <v>612</v>
      </c>
      <c r="J76" s="19" t="s">
        <v>128</v>
      </c>
    </row>
    <row r="77" spans="4:30" x14ac:dyDescent="0.3">
      <c r="D77" s="10"/>
      <c r="E77" s="10"/>
      <c r="H77" s="13" t="s">
        <v>613</v>
      </c>
      <c r="I77" s="17" t="s">
        <v>614</v>
      </c>
      <c r="J77" s="19" t="s">
        <v>127</v>
      </c>
    </row>
    <row r="78" spans="4:30" x14ac:dyDescent="0.3">
      <c r="D78" s="10"/>
      <c r="E78" s="10"/>
      <c r="H78" s="13" t="s">
        <v>615</v>
      </c>
      <c r="I78" s="17" t="s">
        <v>616</v>
      </c>
      <c r="J78" s="19" t="s">
        <v>128</v>
      </c>
    </row>
    <row r="79" spans="4:30" x14ac:dyDescent="0.3">
      <c r="D79" s="10"/>
      <c r="E79" s="10"/>
      <c r="H79" s="13" t="s">
        <v>617</v>
      </c>
      <c r="I79" s="17" t="s">
        <v>618</v>
      </c>
      <c r="J79" s="19" t="s">
        <v>128</v>
      </c>
    </row>
    <row r="80" spans="4:30" x14ac:dyDescent="0.3">
      <c r="D80" s="10"/>
      <c r="E80" s="10"/>
      <c r="H80" s="13" t="s">
        <v>619</v>
      </c>
      <c r="I80" s="17" t="s">
        <v>620</v>
      </c>
      <c r="J80" s="19" t="s">
        <v>127</v>
      </c>
    </row>
    <row r="81" spans="4:10" x14ac:dyDescent="0.3">
      <c r="D81" s="10"/>
      <c r="E81" s="10"/>
      <c r="H81" s="13" t="s">
        <v>621</v>
      </c>
      <c r="I81" s="17" t="s">
        <v>622</v>
      </c>
      <c r="J81" s="19" t="s">
        <v>128</v>
      </c>
    </row>
    <row r="82" spans="4:10" x14ac:dyDescent="0.3">
      <c r="D82" s="10"/>
      <c r="E82" s="10"/>
      <c r="H82" s="13" t="s">
        <v>623</v>
      </c>
      <c r="I82" s="17" t="s">
        <v>624</v>
      </c>
      <c r="J82" s="19" t="s">
        <v>128</v>
      </c>
    </row>
    <row r="83" spans="4:10" x14ac:dyDescent="0.3">
      <c r="D83" s="10"/>
      <c r="E83" s="10"/>
      <c r="H83" s="13" t="s">
        <v>625</v>
      </c>
      <c r="I83" s="17" t="s">
        <v>626</v>
      </c>
      <c r="J83" s="19" t="s">
        <v>127</v>
      </c>
    </row>
    <row r="84" spans="4:10" x14ac:dyDescent="0.3">
      <c r="D84" s="10"/>
      <c r="E84" s="10"/>
      <c r="H84" s="13" t="s">
        <v>627</v>
      </c>
      <c r="I84" s="17" t="s">
        <v>628</v>
      </c>
      <c r="J84" s="19" t="s">
        <v>128</v>
      </c>
    </row>
    <row r="85" spans="4:10" x14ac:dyDescent="0.3">
      <c r="D85" s="10"/>
      <c r="E85" s="10"/>
      <c r="H85" s="13" t="s">
        <v>629</v>
      </c>
      <c r="I85" s="17" t="s">
        <v>630</v>
      </c>
      <c r="J85" s="19" t="s">
        <v>127</v>
      </c>
    </row>
    <row r="86" spans="4:10" x14ac:dyDescent="0.3">
      <c r="D86" s="10"/>
      <c r="E86" s="10"/>
      <c r="H86" s="13" t="s">
        <v>631</v>
      </c>
      <c r="I86" s="17" t="s">
        <v>632</v>
      </c>
      <c r="J86" s="19" t="s">
        <v>128</v>
      </c>
    </row>
    <row r="87" spans="4:10" x14ac:dyDescent="0.3">
      <c r="D87" s="10"/>
      <c r="E87" s="10"/>
      <c r="H87" s="13" t="s">
        <v>633</v>
      </c>
      <c r="I87" s="17" t="s">
        <v>634</v>
      </c>
      <c r="J87" s="19" t="s">
        <v>127</v>
      </c>
    </row>
    <row r="88" spans="4:10" x14ac:dyDescent="0.3">
      <c r="D88" s="10"/>
      <c r="E88" s="10"/>
      <c r="H88" s="13" t="s">
        <v>635</v>
      </c>
      <c r="I88" s="17" t="s">
        <v>636</v>
      </c>
      <c r="J88" s="19" t="s">
        <v>127</v>
      </c>
    </row>
    <row r="89" spans="4:10" x14ac:dyDescent="0.3">
      <c r="D89" s="10"/>
      <c r="E89" s="10"/>
      <c r="H89" s="13" t="s">
        <v>637</v>
      </c>
      <c r="I89" s="17" t="s">
        <v>638</v>
      </c>
      <c r="J89" s="19" t="s">
        <v>127</v>
      </c>
    </row>
    <row r="90" spans="4:10" x14ac:dyDescent="0.3">
      <c r="D90" s="10"/>
      <c r="E90" s="10"/>
      <c r="H90" s="13" t="s">
        <v>639</v>
      </c>
      <c r="I90" s="17" t="s">
        <v>640</v>
      </c>
      <c r="J90" s="19" t="s">
        <v>127</v>
      </c>
    </row>
    <row r="91" spans="4:10" x14ac:dyDescent="0.3">
      <c r="D91" s="10"/>
      <c r="E91" s="10"/>
      <c r="H91" s="13" t="s">
        <v>641</v>
      </c>
      <c r="I91" s="17" t="s">
        <v>642</v>
      </c>
      <c r="J91" s="19" t="s">
        <v>127</v>
      </c>
    </row>
    <row r="92" spans="4:10" x14ac:dyDescent="0.3">
      <c r="D92" s="10"/>
      <c r="E92" s="10"/>
      <c r="H92" s="13" t="s">
        <v>643</v>
      </c>
      <c r="I92" s="17" t="s">
        <v>644</v>
      </c>
      <c r="J92" s="19" t="s">
        <v>128</v>
      </c>
    </row>
    <row r="93" spans="4:10" x14ac:dyDescent="0.3">
      <c r="D93" s="10"/>
      <c r="E93" s="10"/>
      <c r="H93" s="17" t="s">
        <v>645</v>
      </c>
      <c r="I93" s="17" t="s">
        <v>646</v>
      </c>
      <c r="J93" s="19" t="s">
        <v>127</v>
      </c>
    </row>
    <row r="94" spans="4:10" x14ac:dyDescent="0.3">
      <c r="D94" s="10"/>
      <c r="E94" s="10"/>
      <c r="H94" s="13" t="s">
        <v>647</v>
      </c>
      <c r="I94" s="17" t="s">
        <v>648</v>
      </c>
      <c r="J94" s="19" t="s">
        <v>127</v>
      </c>
    </row>
    <row r="95" spans="4:10" x14ac:dyDescent="0.3">
      <c r="D95" s="10"/>
      <c r="E95" s="10"/>
      <c r="H95" s="13" t="s">
        <v>649</v>
      </c>
      <c r="I95" s="17" t="s">
        <v>650</v>
      </c>
      <c r="J95" s="19" t="s">
        <v>128</v>
      </c>
    </row>
    <row r="96" spans="4:10" x14ac:dyDescent="0.3">
      <c r="D96" s="10"/>
      <c r="E96" s="10"/>
      <c r="H96" s="13" t="s">
        <v>651</v>
      </c>
      <c r="I96" s="17" t="s">
        <v>652</v>
      </c>
      <c r="J96" s="19" t="s">
        <v>127</v>
      </c>
    </row>
    <row r="97" spans="4:10" x14ac:dyDescent="0.3">
      <c r="D97" s="10"/>
      <c r="E97" s="10"/>
      <c r="H97" s="13" t="s">
        <v>653</v>
      </c>
      <c r="I97" s="17" t="s">
        <v>654</v>
      </c>
      <c r="J97" s="19" t="s">
        <v>127</v>
      </c>
    </row>
    <row r="98" spans="4:10" x14ac:dyDescent="0.3">
      <c r="D98" s="10"/>
      <c r="E98" s="10"/>
      <c r="H98" s="13" t="s">
        <v>655</v>
      </c>
      <c r="I98" s="17" t="s">
        <v>656</v>
      </c>
      <c r="J98" s="19" t="s">
        <v>127</v>
      </c>
    </row>
    <row r="99" spans="4:10" x14ac:dyDescent="0.3">
      <c r="D99" s="10"/>
      <c r="E99" s="10"/>
      <c r="H99" s="13" t="s">
        <v>657</v>
      </c>
      <c r="I99" s="17" t="s">
        <v>658</v>
      </c>
      <c r="J99" s="19" t="s">
        <v>127</v>
      </c>
    </row>
    <row r="100" spans="4:10" x14ac:dyDescent="0.3">
      <c r="D100" s="10"/>
      <c r="E100" s="10"/>
      <c r="H100" s="13" t="s">
        <v>659</v>
      </c>
      <c r="I100" s="17" t="s">
        <v>660</v>
      </c>
      <c r="J100" s="19" t="s">
        <v>127</v>
      </c>
    </row>
    <row r="101" spans="4:10" x14ac:dyDescent="0.3">
      <c r="D101" s="10"/>
      <c r="E101" s="10"/>
      <c r="H101" s="13" t="s">
        <v>661</v>
      </c>
      <c r="I101" s="17" t="s">
        <v>662</v>
      </c>
      <c r="J101" s="19" t="s">
        <v>127</v>
      </c>
    </row>
    <row r="102" spans="4:10" x14ac:dyDescent="0.3">
      <c r="D102" s="10"/>
      <c r="E102" s="10"/>
      <c r="H102" s="13" t="s">
        <v>663</v>
      </c>
      <c r="I102" s="17" t="s">
        <v>664</v>
      </c>
      <c r="J102" s="19" t="s">
        <v>128</v>
      </c>
    </row>
    <row r="103" spans="4:10" x14ac:dyDescent="0.3">
      <c r="D103" s="10"/>
      <c r="E103" s="10"/>
      <c r="H103" s="13" t="s">
        <v>665</v>
      </c>
      <c r="I103" s="17" t="s">
        <v>666</v>
      </c>
      <c r="J103" s="19" t="s">
        <v>128</v>
      </c>
    </row>
    <row r="104" spans="4:10" x14ac:dyDescent="0.3">
      <c r="D104" s="10"/>
      <c r="E104" s="10"/>
      <c r="H104" s="13" t="s">
        <v>667</v>
      </c>
      <c r="I104" s="17" t="s">
        <v>668</v>
      </c>
      <c r="J104" s="19" t="s">
        <v>127</v>
      </c>
    </row>
    <row r="105" spans="4:10" x14ac:dyDescent="0.3">
      <c r="D105" s="10"/>
      <c r="E105" s="10"/>
      <c r="H105" s="13" t="s">
        <v>669</v>
      </c>
      <c r="I105" s="17" t="s">
        <v>670</v>
      </c>
      <c r="J105" s="19" t="s">
        <v>127</v>
      </c>
    </row>
    <row r="106" spans="4:10" x14ac:dyDescent="0.3">
      <c r="D106" s="10"/>
      <c r="E106" s="10"/>
      <c r="H106" s="13" t="s">
        <v>671</v>
      </c>
      <c r="I106" s="17" t="s">
        <v>672</v>
      </c>
      <c r="J106" s="19" t="s">
        <v>128</v>
      </c>
    </row>
    <row r="107" spans="4:10" x14ac:dyDescent="0.3">
      <c r="D107" s="10"/>
      <c r="E107" s="10"/>
      <c r="H107" s="13" t="s">
        <v>673</v>
      </c>
      <c r="I107" s="17" t="s">
        <v>674</v>
      </c>
      <c r="J107" s="19" t="s">
        <v>127</v>
      </c>
    </row>
    <row r="108" spans="4:10" x14ac:dyDescent="0.3">
      <c r="D108" s="10"/>
      <c r="E108" s="10"/>
      <c r="H108" s="13" t="s">
        <v>675</v>
      </c>
      <c r="I108" s="17" t="s">
        <v>676</v>
      </c>
      <c r="J108" s="19" t="s">
        <v>127</v>
      </c>
    </row>
    <row r="109" spans="4:10" x14ac:dyDescent="0.3">
      <c r="D109" s="10"/>
      <c r="E109" s="10"/>
      <c r="H109" s="13" t="s">
        <v>677</v>
      </c>
      <c r="I109" s="17" t="s">
        <v>678</v>
      </c>
      <c r="J109" s="19" t="s">
        <v>128</v>
      </c>
    </row>
    <row r="110" spans="4:10" x14ac:dyDescent="0.3">
      <c r="D110" s="10"/>
      <c r="E110" s="10"/>
      <c r="H110" s="13" t="s">
        <v>679</v>
      </c>
      <c r="I110" s="17" t="s">
        <v>680</v>
      </c>
      <c r="J110" s="19" t="s">
        <v>127</v>
      </c>
    </row>
    <row r="111" spans="4:10" x14ac:dyDescent="0.3">
      <c r="D111" s="10"/>
      <c r="E111" s="10"/>
      <c r="H111" s="13" t="s">
        <v>681</v>
      </c>
      <c r="I111" s="17" t="s">
        <v>682</v>
      </c>
      <c r="J111" s="19" t="s">
        <v>127</v>
      </c>
    </row>
    <row r="112" spans="4:10" x14ac:dyDescent="0.3">
      <c r="D112" s="10"/>
      <c r="E112" s="10"/>
      <c r="H112" s="13" t="s">
        <v>683</v>
      </c>
      <c r="I112" s="17" t="s">
        <v>684</v>
      </c>
      <c r="J112" s="19" t="s">
        <v>128</v>
      </c>
    </row>
    <row r="113" spans="4:14" x14ac:dyDescent="0.3">
      <c r="D113" s="10"/>
      <c r="E113" s="10"/>
      <c r="H113" s="13" t="s">
        <v>685</v>
      </c>
      <c r="I113" s="17" t="s">
        <v>686</v>
      </c>
      <c r="J113" s="19" t="s">
        <v>127</v>
      </c>
    </row>
    <row r="114" spans="4:14" x14ac:dyDescent="0.3">
      <c r="D114" s="10"/>
      <c r="E114" s="10"/>
      <c r="H114" s="13" t="s">
        <v>687</v>
      </c>
      <c r="I114" s="17" t="s">
        <v>688</v>
      </c>
      <c r="J114" s="19" t="s">
        <v>127</v>
      </c>
      <c r="M114" s="187">
        <v>15</v>
      </c>
      <c r="N114" s="187">
        <v>21.34</v>
      </c>
    </row>
    <row r="115" spans="4:14" x14ac:dyDescent="0.3">
      <c r="D115" s="10"/>
      <c r="E115" s="10"/>
      <c r="H115" s="13" t="s">
        <v>689</v>
      </c>
      <c r="I115" s="17" t="s">
        <v>690</v>
      </c>
      <c r="J115" s="19" t="s">
        <v>127</v>
      </c>
      <c r="M115" s="187">
        <v>20</v>
      </c>
      <c r="N115" s="187">
        <v>26.67</v>
      </c>
    </row>
    <row r="116" spans="4:14" x14ac:dyDescent="0.3">
      <c r="D116" s="10"/>
      <c r="E116" s="10"/>
      <c r="H116" s="13" t="s">
        <v>691</v>
      </c>
      <c r="I116" s="17" t="s">
        <v>692</v>
      </c>
      <c r="J116" s="19" t="s">
        <v>127</v>
      </c>
      <c r="M116" s="187">
        <v>25</v>
      </c>
      <c r="N116" s="187">
        <v>33.4</v>
      </c>
    </row>
    <row r="117" spans="4:14" x14ac:dyDescent="0.3">
      <c r="D117" s="10"/>
      <c r="E117" s="10"/>
      <c r="H117" s="13" t="s">
        <v>693</v>
      </c>
      <c r="I117" s="17" t="s">
        <v>694</v>
      </c>
      <c r="J117" s="19" t="s">
        <v>127</v>
      </c>
      <c r="M117" s="187">
        <v>40</v>
      </c>
      <c r="N117" s="187">
        <v>48.26</v>
      </c>
    </row>
    <row r="118" spans="4:14" x14ac:dyDescent="0.3">
      <c r="D118" s="10"/>
      <c r="E118" s="10"/>
      <c r="H118" s="13" t="s">
        <v>695</v>
      </c>
      <c r="I118" s="17" t="s">
        <v>696</v>
      </c>
      <c r="J118" s="19" t="s">
        <v>127</v>
      </c>
      <c r="M118" s="187">
        <v>50</v>
      </c>
      <c r="N118" s="187">
        <v>60.32</v>
      </c>
    </row>
    <row r="119" spans="4:14" x14ac:dyDescent="0.3">
      <c r="D119" s="10"/>
      <c r="E119" s="10"/>
      <c r="H119" s="13" t="s">
        <v>697</v>
      </c>
      <c r="I119" s="13" t="s">
        <v>698</v>
      </c>
      <c r="J119" s="18" t="s">
        <v>128</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X+vXlRURhKRIRSmEj18v/wK//Itq4JsHnORPrfw+VuFmyPA68EqZ0s+KQG7wPVgHlT0k3ysJ52WjR/77htXoBA==" saltValue="F6E+WnbkGJb7RiaYKSptmg==" spinCount="100000" sheet="1" objects="1" scenarios="1"/>
  <sortState xmlns:xlrd2="http://schemas.microsoft.com/office/spreadsheetml/2017/richdata2" ref="AH2:AL38">
    <sortCondition ref="AH2:AH38"/>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04" t="s">
        <v>699</v>
      </c>
      <c r="B1" s="304"/>
      <c r="C1" s="304"/>
      <c r="D1" s="304"/>
      <c r="E1" s="304"/>
      <c r="F1" s="304"/>
      <c r="G1" s="304"/>
      <c r="H1" s="304"/>
      <c r="I1" s="304"/>
      <c r="J1" s="304"/>
      <c r="K1" s="304"/>
      <c r="L1" s="304"/>
      <c r="M1" s="304"/>
      <c r="N1" s="304"/>
      <c r="P1" s="304" t="s">
        <v>700</v>
      </c>
      <c r="Q1" s="304"/>
      <c r="R1" s="304"/>
      <c r="S1" s="304"/>
      <c r="T1" s="304"/>
      <c r="U1" s="304"/>
      <c r="V1" s="304"/>
      <c r="W1" s="304"/>
      <c r="X1" s="304"/>
      <c r="Y1" s="304"/>
      <c r="Z1" s="304"/>
      <c r="AA1" s="304"/>
      <c r="AB1" s="304"/>
      <c r="AC1" s="304"/>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701</v>
      </c>
      <c r="B3" s="100" t="s">
        <v>702</v>
      </c>
      <c r="C3" s="100" t="s">
        <v>703</v>
      </c>
      <c r="D3" s="100" t="s">
        <v>704</v>
      </c>
      <c r="E3" s="100" t="s">
        <v>705</v>
      </c>
      <c r="F3" s="100" t="s">
        <v>706</v>
      </c>
      <c r="G3" s="100" t="s">
        <v>707</v>
      </c>
      <c r="H3" s="100" t="s">
        <v>708</v>
      </c>
      <c r="I3" s="100" t="s">
        <v>709</v>
      </c>
      <c r="J3" s="100" t="s">
        <v>710</v>
      </c>
      <c r="K3" s="100" t="s">
        <v>711</v>
      </c>
      <c r="L3" s="100" t="s">
        <v>712</v>
      </c>
      <c r="M3" s="100" t="s">
        <v>713</v>
      </c>
      <c r="N3" s="100" t="s">
        <v>714</v>
      </c>
      <c r="P3" s="86" t="s">
        <v>715</v>
      </c>
      <c r="Q3" s="183" t="s">
        <v>702</v>
      </c>
      <c r="R3" s="183" t="s">
        <v>703</v>
      </c>
      <c r="S3" s="183" t="s">
        <v>704</v>
      </c>
      <c r="T3" s="183" t="s">
        <v>705</v>
      </c>
      <c r="U3" s="183" t="s">
        <v>706</v>
      </c>
      <c r="V3" s="183" t="s">
        <v>707</v>
      </c>
      <c r="W3" s="183" t="s">
        <v>708</v>
      </c>
      <c r="X3" s="183" t="s">
        <v>709</v>
      </c>
      <c r="Y3" s="183" t="s">
        <v>710</v>
      </c>
      <c r="Z3" s="183" t="s">
        <v>711</v>
      </c>
      <c r="AA3" s="183" t="s">
        <v>712</v>
      </c>
      <c r="AB3" s="183" t="s">
        <v>713</v>
      </c>
      <c r="AC3" s="183" t="s">
        <v>714</v>
      </c>
      <c r="AF3" s="195"/>
      <c r="AG3" s="196"/>
      <c r="AH3" s="197"/>
    </row>
    <row r="4" spans="1:34" x14ac:dyDescent="0.3">
      <c r="A4" s="179" t="s">
        <v>716</v>
      </c>
      <c r="B4" s="101">
        <v>0.44</v>
      </c>
      <c r="C4" s="100"/>
      <c r="D4" s="100"/>
      <c r="E4" s="100">
        <v>0.44</v>
      </c>
      <c r="F4" s="100">
        <v>0.44</v>
      </c>
      <c r="G4" s="100"/>
      <c r="H4" s="100">
        <v>0.44</v>
      </c>
      <c r="I4" s="101">
        <v>0.44</v>
      </c>
      <c r="J4" s="101"/>
      <c r="K4" s="100"/>
      <c r="L4" s="101"/>
      <c r="M4" s="101">
        <v>0.44</v>
      </c>
      <c r="N4" s="101">
        <v>0.44</v>
      </c>
      <c r="P4" s="179" t="s">
        <v>716</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717</v>
      </c>
      <c r="B5" s="101">
        <v>0.61</v>
      </c>
      <c r="C5" s="100"/>
      <c r="D5" s="100"/>
      <c r="E5" s="100">
        <v>0.61</v>
      </c>
      <c r="F5" s="100">
        <v>0.61</v>
      </c>
      <c r="G5" s="100"/>
      <c r="H5" s="100">
        <v>0.61</v>
      </c>
      <c r="I5" s="101">
        <v>0.61</v>
      </c>
      <c r="J5" s="101"/>
      <c r="K5" s="100"/>
      <c r="L5" s="101"/>
      <c r="M5" s="101">
        <v>0.61</v>
      </c>
      <c r="N5" s="101">
        <v>0.61</v>
      </c>
      <c r="P5" s="179" t="s">
        <v>717</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718</v>
      </c>
      <c r="B7" s="101">
        <v>1.05</v>
      </c>
      <c r="C7" s="100"/>
      <c r="D7" s="100"/>
      <c r="E7" s="100">
        <v>1.05</v>
      </c>
      <c r="F7" s="100">
        <v>1.05</v>
      </c>
      <c r="G7" s="100"/>
      <c r="H7" s="100">
        <v>1.05</v>
      </c>
      <c r="I7" s="101">
        <v>1.05</v>
      </c>
      <c r="J7" s="101"/>
      <c r="K7" s="100"/>
      <c r="L7" s="101"/>
      <c r="M7" s="101">
        <v>1.05</v>
      </c>
      <c r="N7" s="101">
        <v>1.17</v>
      </c>
      <c r="P7" s="179" t="s">
        <v>718</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719</v>
      </c>
      <c r="B9" s="101">
        <v>1.45</v>
      </c>
      <c r="C9" s="100"/>
      <c r="D9" s="100"/>
      <c r="E9" s="100">
        <v>1.45</v>
      </c>
      <c r="F9" s="100">
        <v>1.45</v>
      </c>
      <c r="G9" s="100"/>
      <c r="H9" s="100">
        <v>1.45</v>
      </c>
      <c r="I9" s="101">
        <v>1.45</v>
      </c>
      <c r="J9" s="101"/>
      <c r="K9" s="100"/>
      <c r="L9" s="101"/>
      <c r="M9" s="101">
        <v>1.45</v>
      </c>
      <c r="N9" s="101">
        <v>1.9</v>
      </c>
      <c r="P9" s="179" t="s">
        <v>719</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720</v>
      </c>
      <c r="B29" s="100" t="s">
        <v>702</v>
      </c>
      <c r="C29" s="100" t="s">
        <v>703</v>
      </c>
      <c r="D29" s="100" t="s">
        <v>704</v>
      </c>
      <c r="E29" s="100" t="s">
        <v>705</v>
      </c>
      <c r="F29" s="100" t="s">
        <v>706</v>
      </c>
      <c r="G29" s="100" t="s">
        <v>707</v>
      </c>
      <c r="H29" s="100" t="s">
        <v>708</v>
      </c>
      <c r="I29" s="100" t="s">
        <v>709</v>
      </c>
      <c r="J29" s="100" t="s">
        <v>710</v>
      </c>
      <c r="K29" s="100" t="s">
        <v>711</v>
      </c>
      <c r="L29" s="100" t="s">
        <v>712</v>
      </c>
      <c r="M29" s="100" t="s">
        <v>713</v>
      </c>
      <c r="N29" s="100" t="s">
        <v>714</v>
      </c>
      <c r="P29" s="86" t="s">
        <v>721</v>
      </c>
      <c r="Q29" s="183" t="s">
        <v>702</v>
      </c>
      <c r="R29" s="183" t="s">
        <v>703</v>
      </c>
      <c r="S29" s="183" t="s">
        <v>704</v>
      </c>
      <c r="T29" s="183" t="s">
        <v>705</v>
      </c>
      <c r="U29" s="183" t="s">
        <v>706</v>
      </c>
      <c r="V29" s="183" t="s">
        <v>707</v>
      </c>
      <c r="W29" s="183" t="s">
        <v>708</v>
      </c>
      <c r="X29" s="183" t="s">
        <v>709</v>
      </c>
      <c r="Y29" s="183" t="s">
        <v>710</v>
      </c>
      <c r="Z29" s="183" t="s">
        <v>711</v>
      </c>
      <c r="AA29" s="183" t="s">
        <v>712</v>
      </c>
      <c r="AB29" s="183" t="s">
        <v>713</v>
      </c>
      <c r="AC29" s="183" t="s">
        <v>714</v>
      </c>
      <c r="AE29" s="87" t="s">
        <v>722</v>
      </c>
      <c r="AF29" s="183" t="s">
        <v>702</v>
      </c>
      <c r="AG29" s="183" t="s">
        <v>703</v>
      </c>
      <c r="AH29" s="183" t="s">
        <v>704</v>
      </c>
      <c r="AI29" s="183" t="s">
        <v>705</v>
      </c>
      <c r="AJ29" s="183" t="s">
        <v>706</v>
      </c>
      <c r="AK29" s="183" t="s">
        <v>707</v>
      </c>
      <c r="AL29" s="183" t="s">
        <v>708</v>
      </c>
      <c r="AM29" s="183" t="s">
        <v>709</v>
      </c>
      <c r="AN29" s="183" t="s">
        <v>710</v>
      </c>
      <c r="AO29" s="183" t="s">
        <v>711</v>
      </c>
      <c r="AP29" s="183" t="s">
        <v>712</v>
      </c>
      <c r="AQ29" s="183" t="s">
        <v>713</v>
      </c>
      <c r="AR29" s="183" t="s">
        <v>714</v>
      </c>
      <c r="AS29" s="88"/>
      <c r="AT29" s="89"/>
      <c r="AU29" s="90" t="s">
        <v>723</v>
      </c>
      <c r="AV29" s="90" t="s">
        <v>724</v>
      </c>
      <c r="AW29" s="90" t="s">
        <v>725</v>
      </c>
      <c r="AX29" s="91" t="s">
        <v>726</v>
      </c>
      <c r="AY29" s="91" t="s">
        <v>727</v>
      </c>
      <c r="AZ29" s="91" t="s">
        <v>728</v>
      </c>
    </row>
    <row r="30" spans="1:52" x14ac:dyDescent="0.3">
      <c r="A30" s="179" t="s">
        <v>716</v>
      </c>
      <c r="B30" s="101">
        <v>0.48</v>
      </c>
      <c r="C30" s="100"/>
      <c r="D30" s="100"/>
      <c r="E30" s="100">
        <v>0.48</v>
      </c>
      <c r="F30" s="100">
        <v>0.48</v>
      </c>
      <c r="G30" s="100"/>
      <c r="H30" s="100">
        <v>0.48</v>
      </c>
      <c r="I30" s="101">
        <v>0.48</v>
      </c>
      <c r="J30" s="101"/>
      <c r="K30" s="100"/>
      <c r="L30" s="101"/>
      <c r="M30" s="101">
        <v>0.48</v>
      </c>
      <c r="N30" s="101">
        <v>0.48</v>
      </c>
      <c r="P30" s="179" t="s">
        <v>716</v>
      </c>
      <c r="Q30" s="183">
        <v>0.54</v>
      </c>
      <c r="R30" s="100"/>
      <c r="S30" s="100"/>
      <c r="T30" s="183">
        <v>0.54</v>
      </c>
      <c r="U30" s="183">
        <v>0.54</v>
      </c>
      <c r="V30" s="100"/>
      <c r="W30" s="183">
        <v>0.54</v>
      </c>
      <c r="X30" s="101">
        <v>0.54</v>
      </c>
      <c r="Y30" s="100"/>
      <c r="Z30" s="100"/>
      <c r="AA30" s="100"/>
      <c r="AB30" s="101">
        <v>0.54</v>
      </c>
      <c r="AC30" s="101">
        <v>0.54</v>
      </c>
      <c r="AE30" s="179" t="s">
        <v>716</v>
      </c>
      <c r="AF30" s="92" t="s">
        <v>729</v>
      </c>
      <c r="AG30" s="92" t="s">
        <v>729</v>
      </c>
      <c r="AH30" s="92" t="s">
        <v>729</v>
      </c>
      <c r="AI30" s="92">
        <v>2.77</v>
      </c>
      <c r="AJ30" s="92">
        <v>2.77</v>
      </c>
      <c r="AK30" s="92" t="s">
        <v>729</v>
      </c>
      <c r="AL30" s="92">
        <v>3.73</v>
      </c>
      <c r="AM30" s="92">
        <v>3.73</v>
      </c>
      <c r="AN30" s="92" t="s">
        <v>729</v>
      </c>
      <c r="AO30" s="92" t="s">
        <v>729</v>
      </c>
      <c r="AP30" s="92" t="s">
        <v>729</v>
      </c>
      <c r="AQ30" s="92">
        <v>4.75</v>
      </c>
      <c r="AR30" s="92">
        <v>7.47</v>
      </c>
      <c r="AS30" s="88"/>
      <c r="AT30" s="179" t="s">
        <v>716</v>
      </c>
      <c r="AU30" s="93">
        <v>0.06</v>
      </c>
      <c r="AV30" s="93" t="s">
        <v>729</v>
      </c>
      <c r="AW30" s="93" t="s">
        <v>729</v>
      </c>
      <c r="AX30" s="94">
        <v>0.12</v>
      </c>
      <c r="AY30" s="94" t="s">
        <v>729</v>
      </c>
      <c r="AZ30" s="94" t="s">
        <v>729</v>
      </c>
    </row>
    <row r="31" spans="1:52" x14ac:dyDescent="0.3">
      <c r="A31" s="179" t="s">
        <v>717</v>
      </c>
      <c r="B31" s="101">
        <v>0.64</v>
      </c>
      <c r="C31" s="100"/>
      <c r="D31" s="100"/>
      <c r="E31" s="100">
        <v>0.64</v>
      </c>
      <c r="F31" s="100">
        <v>0.64</v>
      </c>
      <c r="G31" s="100"/>
      <c r="H31" s="100">
        <v>0.64</v>
      </c>
      <c r="I31" s="101">
        <v>0.64</v>
      </c>
      <c r="J31" s="101"/>
      <c r="K31" s="100"/>
      <c r="L31" s="101"/>
      <c r="M31" s="101">
        <v>0.64</v>
      </c>
      <c r="N31" s="101">
        <v>0.64</v>
      </c>
      <c r="P31" s="179" t="s">
        <v>717</v>
      </c>
      <c r="Q31" s="183">
        <v>0.73</v>
      </c>
      <c r="R31" s="100"/>
      <c r="S31" s="100"/>
      <c r="T31" s="183">
        <v>0.73</v>
      </c>
      <c r="U31" s="183">
        <v>0.73</v>
      </c>
      <c r="V31" s="100"/>
      <c r="W31" s="183">
        <v>0.73</v>
      </c>
      <c r="X31" s="101">
        <v>0.73</v>
      </c>
      <c r="Y31" s="100"/>
      <c r="Z31" s="100"/>
      <c r="AA31" s="100"/>
      <c r="AB31" s="101">
        <v>0.73</v>
      </c>
      <c r="AC31" s="101">
        <v>0.73</v>
      </c>
      <c r="AE31" s="179" t="s">
        <v>717</v>
      </c>
      <c r="AF31" s="92">
        <v>2.11</v>
      </c>
      <c r="AG31" s="92" t="s">
        <v>729</v>
      </c>
      <c r="AH31" s="92" t="s">
        <v>729</v>
      </c>
      <c r="AI31" s="92">
        <v>2.87</v>
      </c>
      <c r="AJ31" s="92">
        <v>2.87</v>
      </c>
      <c r="AK31" s="92" t="s">
        <v>729</v>
      </c>
      <c r="AL31" s="92">
        <v>3.91</v>
      </c>
      <c r="AM31" s="92">
        <v>3.91</v>
      </c>
      <c r="AN31" s="92" t="s">
        <v>729</v>
      </c>
      <c r="AO31" s="92" t="s">
        <v>729</v>
      </c>
      <c r="AP31" s="92" t="s">
        <v>729</v>
      </c>
      <c r="AQ31" s="92">
        <v>5.54</v>
      </c>
      <c r="AR31" s="92">
        <v>7.82</v>
      </c>
      <c r="AS31" s="88"/>
      <c r="AT31" s="179" t="s">
        <v>717</v>
      </c>
      <c r="AU31" s="93">
        <v>0.1</v>
      </c>
      <c r="AV31" s="93" t="s">
        <v>729</v>
      </c>
      <c r="AW31" s="93" t="s">
        <v>729</v>
      </c>
      <c r="AX31" s="94">
        <v>0.19</v>
      </c>
      <c r="AY31" s="94" t="s">
        <v>729</v>
      </c>
      <c r="AZ31" s="94" t="s">
        <v>729</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729</v>
      </c>
      <c r="AH32" s="92" t="s">
        <v>729</v>
      </c>
      <c r="AI32" s="92">
        <v>3.38</v>
      </c>
      <c r="AJ32" s="92">
        <v>3.38</v>
      </c>
      <c r="AK32" s="92" t="s">
        <v>729</v>
      </c>
      <c r="AL32" s="92">
        <v>4.55</v>
      </c>
      <c r="AM32" s="92">
        <v>4.55</v>
      </c>
      <c r="AN32" s="92" t="s">
        <v>729</v>
      </c>
      <c r="AO32" s="92" t="s">
        <v>729</v>
      </c>
      <c r="AP32" s="92" t="s">
        <v>729</v>
      </c>
      <c r="AQ32" s="92">
        <v>6.35</v>
      </c>
      <c r="AR32" s="92">
        <v>9.09</v>
      </c>
      <c r="AS32" s="95"/>
      <c r="AT32" s="179">
        <v>1</v>
      </c>
      <c r="AU32" s="93">
        <v>0.12</v>
      </c>
      <c r="AV32" s="93" t="s">
        <v>729</v>
      </c>
      <c r="AW32" s="93" t="s">
        <v>729</v>
      </c>
      <c r="AX32" s="94">
        <v>0.24</v>
      </c>
      <c r="AY32" s="94" t="s">
        <v>729</v>
      </c>
      <c r="AZ32" s="94" t="s">
        <v>729</v>
      </c>
    </row>
    <row r="33" spans="1:52" x14ac:dyDescent="0.3">
      <c r="A33" s="179" t="s">
        <v>718</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718</v>
      </c>
      <c r="Q33" s="183">
        <v>1.19</v>
      </c>
      <c r="R33" s="100"/>
      <c r="S33" s="100"/>
      <c r="T33" s="183">
        <v>1.19</v>
      </c>
      <c r="U33" s="183">
        <v>1.19</v>
      </c>
      <c r="V33" s="100"/>
      <c r="W33" s="183">
        <v>1.19</v>
      </c>
      <c r="X33" s="101">
        <v>1.19</v>
      </c>
      <c r="Y33" s="100"/>
      <c r="Z33" s="100"/>
      <c r="AA33" s="100"/>
      <c r="AB33" s="101">
        <v>1.19</v>
      </c>
      <c r="AC33" s="101">
        <v>1.31</v>
      </c>
      <c r="AE33" s="179" t="s">
        <v>718</v>
      </c>
      <c r="AF33" s="92">
        <v>2.77</v>
      </c>
      <c r="AG33" s="92" t="s">
        <v>729</v>
      </c>
      <c r="AH33" s="92" t="s">
        <v>729</v>
      </c>
      <c r="AI33" s="92">
        <v>3.68</v>
      </c>
      <c r="AJ33" s="92">
        <v>3.68</v>
      </c>
      <c r="AK33" s="92" t="s">
        <v>729</v>
      </c>
      <c r="AL33" s="92">
        <v>5.08</v>
      </c>
      <c r="AM33" s="92">
        <v>5.08</v>
      </c>
      <c r="AN33" s="92" t="s">
        <v>729</v>
      </c>
      <c r="AO33" s="92" t="s">
        <v>729</v>
      </c>
      <c r="AP33" s="92" t="s">
        <v>729</v>
      </c>
      <c r="AQ33" s="92">
        <v>7.14</v>
      </c>
      <c r="AR33" s="92">
        <v>10.16</v>
      </c>
      <c r="AS33" s="95"/>
      <c r="AT33" s="179" t="s">
        <v>718</v>
      </c>
      <c r="AU33" s="93">
        <v>0.18</v>
      </c>
      <c r="AV33" s="93" t="s">
        <v>729</v>
      </c>
      <c r="AW33" s="93" t="s">
        <v>729</v>
      </c>
      <c r="AX33" s="94">
        <v>0.37</v>
      </c>
      <c r="AY33" s="94" t="s">
        <v>729</v>
      </c>
      <c r="AZ33" s="94" t="s">
        <v>729</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729</v>
      </c>
      <c r="AH34" s="92" t="s">
        <v>729</v>
      </c>
      <c r="AI34" s="92">
        <v>3.91</v>
      </c>
      <c r="AJ34" s="92">
        <v>3.91</v>
      </c>
      <c r="AK34" s="92" t="s">
        <v>729</v>
      </c>
      <c r="AL34" s="92">
        <v>5.54</v>
      </c>
      <c r="AM34" s="92">
        <v>5.54</v>
      </c>
      <c r="AN34" s="92" t="s">
        <v>729</v>
      </c>
      <c r="AO34" s="92" t="s">
        <v>729</v>
      </c>
      <c r="AP34" s="92" t="s">
        <v>729</v>
      </c>
      <c r="AQ34" s="92">
        <v>8.7100000000000009</v>
      </c>
      <c r="AR34" s="92">
        <v>11.07</v>
      </c>
      <c r="AS34" s="95"/>
      <c r="AT34" s="179">
        <v>2</v>
      </c>
      <c r="AU34" s="93">
        <v>0.24</v>
      </c>
      <c r="AV34" s="93" t="s">
        <v>729</v>
      </c>
      <c r="AW34" s="93" t="s">
        <v>729</v>
      </c>
      <c r="AX34" s="94">
        <v>0.49</v>
      </c>
      <c r="AY34" s="94" t="s">
        <v>729</v>
      </c>
      <c r="AZ34" s="94" t="s">
        <v>729</v>
      </c>
    </row>
    <row r="35" spans="1:52" x14ac:dyDescent="0.3">
      <c r="A35" s="179" t="s">
        <v>719</v>
      </c>
      <c r="B35" s="101">
        <v>1.54</v>
      </c>
      <c r="C35" s="100"/>
      <c r="D35" s="100"/>
      <c r="E35" s="100">
        <v>1.54</v>
      </c>
      <c r="F35" s="100">
        <v>1.54</v>
      </c>
      <c r="G35" s="100"/>
      <c r="H35" s="100">
        <v>1.54</v>
      </c>
      <c r="I35" s="101">
        <v>1.54</v>
      </c>
      <c r="J35" s="101"/>
      <c r="K35" s="100"/>
      <c r="L35" s="101"/>
      <c r="M35" s="101">
        <v>1.54</v>
      </c>
      <c r="N35" s="101">
        <v>1.98</v>
      </c>
      <c r="P35" s="179" t="s">
        <v>719</v>
      </c>
      <c r="Q35" s="183">
        <v>1.59</v>
      </c>
      <c r="R35" s="100"/>
      <c r="S35" s="100"/>
      <c r="T35" s="183">
        <v>1.59</v>
      </c>
      <c r="U35" s="183">
        <v>1.59</v>
      </c>
      <c r="V35" s="100"/>
      <c r="W35" s="183">
        <v>1.59</v>
      </c>
      <c r="X35" s="101">
        <v>1.59</v>
      </c>
      <c r="Y35" s="100"/>
      <c r="Z35" s="100"/>
      <c r="AA35" s="100"/>
      <c r="AB35" s="101">
        <v>1.59</v>
      </c>
      <c r="AC35" s="101">
        <v>2.02</v>
      </c>
      <c r="AE35" s="179" t="s">
        <v>719</v>
      </c>
      <c r="AF35" s="92">
        <v>3.05</v>
      </c>
      <c r="AG35" s="92" t="s">
        <v>729</v>
      </c>
      <c r="AH35" s="92" t="s">
        <v>729</v>
      </c>
      <c r="AI35" s="92">
        <v>5.16</v>
      </c>
      <c r="AJ35" s="92">
        <v>5.16</v>
      </c>
      <c r="AK35" s="92" t="s">
        <v>729</v>
      </c>
      <c r="AL35" s="92">
        <v>7.01</v>
      </c>
      <c r="AM35" s="92">
        <v>7.01</v>
      </c>
      <c r="AN35" s="92" t="s">
        <v>729</v>
      </c>
      <c r="AO35" s="92" t="s">
        <v>729</v>
      </c>
      <c r="AP35" s="92" t="s">
        <v>729</v>
      </c>
      <c r="AQ35" s="92">
        <v>9.52</v>
      </c>
      <c r="AR35" s="92">
        <v>14.02</v>
      </c>
      <c r="AT35" s="179" t="s">
        <v>719</v>
      </c>
      <c r="AU35" s="93">
        <v>0.28000000000000003</v>
      </c>
      <c r="AV35" s="93" t="s">
        <v>729</v>
      </c>
      <c r="AW35" s="93" t="s">
        <v>729</v>
      </c>
      <c r="AX35" s="94">
        <v>0.56000000000000005</v>
      </c>
      <c r="AY35" s="94" t="s">
        <v>729</v>
      </c>
      <c r="AZ35" s="94" t="s">
        <v>729</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729</v>
      </c>
      <c r="AH36" s="92" t="s">
        <v>729</v>
      </c>
      <c r="AI36" s="92">
        <v>5.49</v>
      </c>
      <c r="AJ36" s="92">
        <v>5.49</v>
      </c>
      <c r="AK36" s="92" t="s">
        <v>729</v>
      </c>
      <c r="AL36" s="92">
        <v>7.62</v>
      </c>
      <c r="AM36" s="92">
        <v>7.62</v>
      </c>
      <c r="AN36" s="92" t="s">
        <v>729</v>
      </c>
      <c r="AO36" s="92" t="s">
        <v>729</v>
      </c>
      <c r="AP36" s="92" t="s">
        <v>729</v>
      </c>
      <c r="AQ36" s="92">
        <v>11.13</v>
      </c>
      <c r="AR36" s="92">
        <v>15.24</v>
      </c>
      <c r="AT36" s="179">
        <v>3</v>
      </c>
      <c r="AU36" s="93">
        <v>0.31</v>
      </c>
      <c r="AV36" s="93">
        <v>0.37</v>
      </c>
      <c r="AW36" s="93" t="s">
        <v>729</v>
      </c>
      <c r="AX36" s="94">
        <v>0.61</v>
      </c>
      <c r="AY36" s="94">
        <v>0.73</v>
      </c>
      <c r="AZ36" s="94" t="s">
        <v>729</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729</v>
      </c>
      <c r="AH37" s="92" t="s">
        <v>729</v>
      </c>
      <c r="AI37" s="92">
        <v>6.02</v>
      </c>
      <c r="AJ37" s="92">
        <v>6.02</v>
      </c>
      <c r="AK37" s="92" t="s">
        <v>729</v>
      </c>
      <c r="AL37" s="92">
        <v>8.56</v>
      </c>
      <c r="AM37" s="92">
        <v>8.56</v>
      </c>
      <c r="AN37" s="92" t="s">
        <v>729</v>
      </c>
      <c r="AO37" s="92">
        <v>11.13</v>
      </c>
      <c r="AP37" s="92" t="s">
        <v>729</v>
      </c>
      <c r="AQ37" s="92">
        <v>13.49</v>
      </c>
      <c r="AR37" s="92">
        <v>17.12</v>
      </c>
      <c r="AT37" s="179">
        <v>4</v>
      </c>
      <c r="AU37" s="93">
        <v>0.37</v>
      </c>
      <c r="AV37" s="93">
        <v>0.44</v>
      </c>
      <c r="AW37" s="93" t="s">
        <v>729</v>
      </c>
      <c r="AX37" s="94">
        <v>0.73</v>
      </c>
      <c r="AY37" s="94">
        <v>0.88</v>
      </c>
      <c r="AZ37" s="94" t="s">
        <v>729</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729</v>
      </c>
      <c r="AG38" s="92" t="s">
        <v>729</v>
      </c>
      <c r="AH38" s="92" t="s">
        <v>729</v>
      </c>
      <c r="AI38" s="92">
        <v>7.11</v>
      </c>
      <c r="AJ38" s="92">
        <v>7.11</v>
      </c>
      <c r="AK38" s="92" t="s">
        <v>729</v>
      </c>
      <c r="AL38" s="92">
        <v>10.97</v>
      </c>
      <c r="AM38" s="92">
        <v>10.97</v>
      </c>
      <c r="AN38" s="92" t="s">
        <v>729</v>
      </c>
      <c r="AO38" s="92">
        <v>14.27</v>
      </c>
      <c r="AP38" s="92" t="s">
        <v>729</v>
      </c>
      <c r="AQ38" s="92">
        <v>18.239999999999998</v>
      </c>
      <c r="AR38" s="92">
        <v>21.95</v>
      </c>
      <c r="AT38" s="179">
        <v>6</v>
      </c>
      <c r="AU38" s="93">
        <v>0.47</v>
      </c>
      <c r="AV38" s="93">
        <v>0.56000000000000005</v>
      </c>
      <c r="AW38" s="93" t="s">
        <v>729</v>
      </c>
      <c r="AX38" s="94">
        <v>0.94</v>
      </c>
      <c r="AY38" s="94">
        <v>1.1299999999999999</v>
      </c>
      <c r="AZ38" s="94" t="s">
        <v>729</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729</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729</v>
      </c>
      <c r="AX39" s="94">
        <v>1.1000000000000001</v>
      </c>
      <c r="AY39" s="94">
        <v>1.32</v>
      </c>
      <c r="AZ39" s="94" t="s">
        <v>729</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729</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729</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729</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729</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729</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729</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729</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729</v>
      </c>
      <c r="AG47" s="89" t="s">
        <v>729</v>
      </c>
      <c r="AH47" s="89" t="s">
        <v>729</v>
      </c>
      <c r="AI47" s="92">
        <v>9.52</v>
      </c>
      <c r="AJ47" s="92" t="s">
        <v>729</v>
      </c>
      <c r="AK47" s="92" t="s">
        <v>729</v>
      </c>
      <c r="AL47" s="92">
        <v>12.7</v>
      </c>
      <c r="AM47" s="78" t="s">
        <v>729</v>
      </c>
      <c r="AN47" s="78" t="s">
        <v>729</v>
      </c>
      <c r="AO47" s="78" t="s">
        <v>729</v>
      </c>
      <c r="AP47" s="78" t="s">
        <v>729</v>
      </c>
      <c r="AQ47" s="78" t="s">
        <v>729</v>
      </c>
      <c r="AR47" s="78" t="s">
        <v>729</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729</v>
      </c>
      <c r="AG48" s="92">
        <v>12.7</v>
      </c>
      <c r="AH48" s="92">
        <v>15.88</v>
      </c>
      <c r="AI48" s="92">
        <v>9.52</v>
      </c>
      <c r="AJ48" s="92" t="s">
        <v>729</v>
      </c>
      <c r="AK48" s="92" t="s">
        <v>729</v>
      </c>
      <c r="AL48" s="92">
        <v>12.7</v>
      </c>
      <c r="AM48" s="78" t="s">
        <v>729</v>
      </c>
      <c r="AN48" s="78" t="s">
        <v>729</v>
      </c>
      <c r="AO48" s="78" t="s">
        <v>729</v>
      </c>
      <c r="AP48" s="78" t="s">
        <v>729</v>
      </c>
      <c r="AQ48" s="78" t="s">
        <v>729</v>
      </c>
      <c r="AR48" s="78" t="s">
        <v>729</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729</v>
      </c>
      <c r="AK49" s="92" t="s">
        <v>729</v>
      </c>
      <c r="AL49" s="92">
        <v>12.7</v>
      </c>
      <c r="AM49" s="78" t="s">
        <v>729</v>
      </c>
      <c r="AN49" s="78" t="s">
        <v>729</v>
      </c>
      <c r="AO49" s="78" t="s">
        <v>729</v>
      </c>
      <c r="AP49" s="78" t="s">
        <v>729</v>
      </c>
      <c r="AQ49" s="78" t="s">
        <v>729</v>
      </c>
      <c r="AR49" s="78" t="s">
        <v>729</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729</v>
      </c>
      <c r="AG50" s="89" t="s">
        <v>729</v>
      </c>
      <c r="AH50" s="89" t="s">
        <v>729</v>
      </c>
      <c r="AI50" s="92">
        <v>9.52</v>
      </c>
      <c r="AJ50" s="92">
        <v>17.48</v>
      </c>
      <c r="AK50" s="92" t="s">
        <v>729</v>
      </c>
      <c r="AL50" s="92">
        <v>12.7</v>
      </c>
      <c r="AM50" s="78" t="s">
        <v>729</v>
      </c>
      <c r="AN50" s="78" t="s">
        <v>729</v>
      </c>
      <c r="AO50" s="78" t="s">
        <v>729</v>
      </c>
      <c r="AP50" s="78" t="s">
        <v>729</v>
      </c>
      <c r="AQ50" s="78" t="s">
        <v>729</v>
      </c>
      <c r="AR50" s="78" t="s">
        <v>729</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729</v>
      </c>
      <c r="AL51" s="92">
        <v>12.7</v>
      </c>
      <c r="AM51" s="78" t="s">
        <v>729</v>
      </c>
      <c r="AN51" s="78" t="s">
        <v>729</v>
      </c>
      <c r="AO51" s="78" t="s">
        <v>729</v>
      </c>
      <c r="AP51" s="78" t="s">
        <v>729</v>
      </c>
      <c r="AQ51" s="78" t="s">
        <v>729</v>
      </c>
      <c r="AR51" s="78" t="s">
        <v>729</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729</v>
      </c>
      <c r="AG52" s="89" t="s">
        <v>729</v>
      </c>
      <c r="AH52" s="89" t="s">
        <v>729</v>
      </c>
      <c r="AI52" s="92">
        <v>9.52</v>
      </c>
      <c r="AJ52" s="92" t="s">
        <v>729</v>
      </c>
      <c r="AK52" s="92" t="s">
        <v>729</v>
      </c>
      <c r="AL52" s="92">
        <v>12.7</v>
      </c>
      <c r="AM52" s="78" t="s">
        <v>729</v>
      </c>
      <c r="AN52" s="78" t="s">
        <v>729</v>
      </c>
      <c r="AO52" s="78" t="s">
        <v>729</v>
      </c>
      <c r="AP52" s="78" t="s">
        <v>729</v>
      </c>
      <c r="AQ52" s="78" t="s">
        <v>729</v>
      </c>
      <c r="AR52" s="78" t="s">
        <v>729</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729</v>
      </c>
      <c r="AG53" s="89" t="s">
        <v>729</v>
      </c>
      <c r="AH53" s="89" t="s">
        <v>729</v>
      </c>
      <c r="AI53" s="92">
        <v>9.52</v>
      </c>
      <c r="AJ53" s="92" t="s">
        <v>729</v>
      </c>
      <c r="AK53" s="92" t="s">
        <v>729</v>
      </c>
      <c r="AL53" s="92">
        <v>12.7</v>
      </c>
      <c r="AM53" s="78" t="s">
        <v>729</v>
      </c>
      <c r="AN53" s="78" t="s">
        <v>729</v>
      </c>
      <c r="AO53" s="78" t="s">
        <v>729</v>
      </c>
      <c r="AP53" s="78" t="s">
        <v>729</v>
      </c>
      <c r="AQ53" s="78" t="s">
        <v>729</v>
      </c>
      <c r="AR53" s="78" t="s">
        <v>729</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730</v>
      </c>
      <c r="B55" s="100" t="s">
        <v>702</v>
      </c>
      <c r="C55" s="100" t="s">
        <v>703</v>
      </c>
      <c r="D55" s="100" t="s">
        <v>704</v>
      </c>
      <c r="E55" s="100" t="s">
        <v>705</v>
      </c>
      <c r="F55" s="100" t="s">
        <v>706</v>
      </c>
      <c r="G55" s="100" t="s">
        <v>707</v>
      </c>
      <c r="H55" s="100" t="s">
        <v>708</v>
      </c>
      <c r="I55" s="100" t="s">
        <v>709</v>
      </c>
      <c r="J55" s="100" t="s">
        <v>710</v>
      </c>
      <c r="K55" s="100" t="s">
        <v>711</v>
      </c>
      <c r="L55" s="100" t="s">
        <v>712</v>
      </c>
      <c r="M55" s="100" t="s">
        <v>713</v>
      </c>
      <c r="N55" s="100" t="s">
        <v>714</v>
      </c>
      <c r="P55" s="86" t="s">
        <v>731</v>
      </c>
      <c r="Q55" s="183" t="s">
        <v>702</v>
      </c>
      <c r="R55" s="183" t="s">
        <v>703</v>
      </c>
      <c r="S55" s="183" t="s">
        <v>704</v>
      </c>
      <c r="T55" s="183" t="s">
        <v>705</v>
      </c>
      <c r="U55" s="183" t="s">
        <v>706</v>
      </c>
      <c r="V55" s="183" t="s">
        <v>707</v>
      </c>
      <c r="W55" s="183" t="s">
        <v>708</v>
      </c>
      <c r="X55" s="183" t="s">
        <v>709</v>
      </c>
      <c r="Y55" s="183" t="s">
        <v>710</v>
      </c>
      <c r="Z55" s="183" t="s">
        <v>711</v>
      </c>
      <c r="AA55" s="183" t="s">
        <v>712</v>
      </c>
      <c r="AB55" s="183" t="s">
        <v>713</v>
      </c>
      <c r="AC55" s="183" t="s">
        <v>714</v>
      </c>
    </row>
    <row r="56" spans="1:52" x14ac:dyDescent="0.3">
      <c r="A56" s="179" t="s">
        <v>716</v>
      </c>
      <c r="B56" s="101">
        <v>0.36</v>
      </c>
      <c r="C56" s="100"/>
      <c r="D56" s="100"/>
      <c r="E56" s="100">
        <v>0.36</v>
      </c>
      <c r="F56" s="100">
        <v>0.36</v>
      </c>
      <c r="G56" s="100"/>
      <c r="H56" s="100">
        <v>0.36</v>
      </c>
      <c r="I56" s="101">
        <v>0.36</v>
      </c>
      <c r="J56" s="101"/>
      <c r="K56" s="100"/>
      <c r="L56" s="101"/>
      <c r="M56" s="101">
        <v>0.36</v>
      </c>
      <c r="N56" s="101">
        <v>0.36</v>
      </c>
      <c r="P56" s="179" t="s">
        <v>716</v>
      </c>
      <c r="Q56" s="183">
        <v>0.41</v>
      </c>
      <c r="R56" s="100"/>
      <c r="S56" s="100"/>
      <c r="T56" s="183">
        <v>0.41</v>
      </c>
      <c r="U56" s="183">
        <v>0.41</v>
      </c>
      <c r="V56" s="100"/>
      <c r="W56" s="183">
        <v>0.41</v>
      </c>
      <c r="X56" s="101">
        <v>0.41</v>
      </c>
      <c r="Y56" s="100"/>
      <c r="Z56" s="100"/>
      <c r="AA56" s="100"/>
      <c r="AB56" s="101">
        <v>0.41</v>
      </c>
      <c r="AC56" s="101">
        <v>0.41</v>
      </c>
    </row>
    <row r="57" spans="1:52" x14ac:dyDescent="0.3">
      <c r="A57" s="179" t="s">
        <v>717</v>
      </c>
      <c r="B57" s="101">
        <v>0.44</v>
      </c>
      <c r="C57" s="100"/>
      <c r="D57" s="100"/>
      <c r="E57" s="100">
        <v>0.44</v>
      </c>
      <c r="F57" s="100">
        <v>0.44</v>
      </c>
      <c r="G57" s="100"/>
      <c r="H57" s="100">
        <v>0.44</v>
      </c>
      <c r="I57" s="101">
        <v>0.44</v>
      </c>
      <c r="J57" s="101"/>
      <c r="K57" s="100"/>
      <c r="L57" s="101"/>
      <c r="M57" s="101">
        <v>0.44</v>
      </c>
      <c r="N57" s="101">
        <v>0.44</v>
      </c>
      <c r="P57" s="179" t="s">
        <v>717</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718</v>
      </c>
      <c r="B59" s="101">
        <v>0.76</v>
      </c>
      <c r="C59" s="100"/>
      <c r="D59" s="100"/>
      <c r="E59" s="100">
        <v>0.76</v>
      </c>
      <c r="F59" s="100">
        <v>0.76</v>
      </c>
      <c r="G59" s="100"/>
      <c r="H59" s="100">
        <v>0.76</v>
      </c>
      <c r="I59" s="101">
        <v>0.76</v>
      </c>
      <c r="J59" s="101"/>
      <c r="K59" s="100"/>
      <c r="L59" s="101"/>
      <c r="M59" s="101">
        <v>0.76</v>
      </c>
      <c r="N59" s="101">
        <v>0.84</v>
      </c>
      <c r="P59" s="179" t="s">
        <v>718</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719</v>
      </c>
      <c r="B61" s="101">
        <v>1.03</v>
      </c>
      <c r="C61" s="100"/>
      <c r="D61" s="100"/>
      <c r="E61" s="100">
        <v>1.03</v>
      </c>
      <c r="F61" s="100">
        <v>1.03</v>
      </c>
      <c r="G61" s="100"/>
      <c r="H61" s="100">
        <v>1.03</v>
      </c>
      <c r="I61" s="101">
        <v>1.03</v>
      </c>
      <c r="J61" s="101"/>
      <c r="K61" s="100"/>
      <c r="L61" s="101"/>
      <c r="M61" s="101">
        <v>1.03</v>
      </c>
      <c r="N61" s="101">
        <v>1.31</v>
      </c>
      <c r="P61" s="179" t="s">
        <v>719</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732</v>
      </c>
      <c r="AF80" s="190" t="s">
        <v>733</v>
      </c>
      <c r="AG80" s="190" t="s">
        <v>734</v>
      </c>
      <c r="AH80" s="86" t="s">
        <v>735</v>
      </c>
      <c r="AI80" s="190" t="s">
        <v>733</v>
      </c>
      <c r="AJ80" s="190" t="s">
        <v>734</v>
      </c>
      <c r="AK80" s="190" t="s">
        <v>736</v>
      </c>
      <c r="AL80" s="86" t="s">
        <v>737</v>
      </c>
      <c r="AM80" s="190" t="s">
        <v>738</v>
      </c>
      <c r="AN80" s="190" t="s">
        <v>739</v>
      </c>
      <c r="AO80" s="192" t="s">
        <v>740</v>
      </c>
      <c r="AP80" s="86" t="s">
        <v>735</v>
      </c>
      <c r="AQ80" s="194" t="s">
        <v>741</v>
      </c>
    </row>
    <row r="81" spans="1:44" ht="21.6" x14ac:dyDescent="0.3">
      <c r="A81" s="85" t="s">
        <v>742</v>
      </c>
      <c r="B81" s="100" t="s">
        <v>702</v>
      </c>
      <c r="C81" s="100" t="s">
        <v>703</v>
      </c>
      <c r="D81" s="100" t="s">
        <v>704</v>
      </c>
      <c r="E81" s="100" t="s">
        <v>705</v>
      </c>
      <c r="F81" s="100" t="s">
        <v>706</v>
      </c>
      <c r="G81" s="100" t="s">
        <v>707</v>
      </c>
      <c r="H81" s="100" t="s">
        <v>708</v>
      </c>
      <c r="I81" s="100" t="s">
        <v>709</v>
      </c>
      <c r="J81" s="100" t="s">
        <v>710</v>
      </c>
      <c r="K81" s="100" t="s">
        <v>711</v>
      </c>
      <c r="L81" s="100" t="s">
        <v>712</v>
      </c>
      <c r="M81" s="100" t="s">
        <v>713</v>
      </c>
      <c r="N81" s="100" t="s">
        <v>714</v>
      </c>
      <c r="O81" s="186"/>
      <c r="P81" s="86" t="s">
        <v>743</v>
      </c>
      <c r="Q81" s="183" t="s">
        <v>702</v>
      </c>
      <c r="R81" s="183" t="s">
        <v>703</v>
      </c>
      <c r="S81" s="183" t="s">
        <v>704</v>
      </c>
      <c r="T81" s="183" t="s">
        <v>705</v>
      </c>
      <c r="U81" s="183" t="s">
        <v>706</v>
      </c>
      <c r="V81" s="183" t="s">
        <v>707</v>
      </c>
      <c r="W81" s="183" t="s">
        <v>708</v>
      </c>
      <c r="X81" s="183" t="s">
        <v>709</v>
      </c>
      <c r="Y81" s="183" t="s">
        <v>710</v>
      </c>
      <c r="Z81" s="183" t="s">
        <v>711</v>
      </c>
      <c r="AA81" s="183" t="s">
        <v>712</v>
      </c>
      <c r="AB81" s="183" t="s">
        <v>713</v>
      </c>
      <c r="AC81" s="183" t="s">
        <v>714</v>
      </c>
      <c r="AE81" s="179" t="s">
        <v>716</v>
      </c>
      <c r="AF81" s="170">
        <v>0.57999999999999996</v>
      </c>
      <c r="AG81" s="170">
        <v>0.67</v>
      </c>
      <c r="AH81" s="179" t="s">
        <v>716</v>
      </c>
      <c r="AI81" s="170">
        <v>0.22</v>
      </c>
      <c r="AJ81" s="170">
        <v>0.37</v>
      </c>
      <c r="AK81" s="170">
        <v>1.22</v>
      </c>
      <c r="AL81" s="191" t="s">
        <v>744</v>
      </c>
      <c r="AM81" s="170">
        <v>0.49</v>
      </c>
      <c r="AN81" s="170">
        <v>0.53</v>
      </c>
      <c r="AO81" s="193">
        <v>0.59</v>
      </c>
      <c r="AP81" s="179" t="s">
        <v>716</v>
      </c>
      <c r="AQ81" s="193">
        <v>0.52</v>
      </c>
      <c r="AR81" s="180"/>
    </row>
    <row r="82" spans="1:44" x14ac:dyDescent="0.3">
      <c r="A82" s="179" t="s">
        <v>716</v>
      </c>
      <c r="B82" s="101">
        <v>0.2</v>
      </c>
      <c r="C82" s="100"/>
      <c r="D82" s="100"/>
      <c r="E82" s="100">
        <v>0.2</v>
      </c>
      <c r="F82" s="100">
        <v>0.2</v>
      </c>
      <c r="G82" s="100"/>
      <c r="H82" s="100">
        <v>0.2</v>
      </c>
      <c r="I82" s="101">
        <v>0.2</v>
      </c>
      <c r="J82" s="101"/>
      <c r="K82" s="100"/>
      <c r="L82" s="101"/>
      <c r="M82" s="101">
        <v>0.2</v>
      </c>
      <c r="N82" s="101">
        <v>0.2</v>
      </c>
      <c r="P82" s="179" t="s">
        <v>716</v>
      </c>
      <c r="Q82" s="183">
        <v>0.21</v>
      </c>
      <c r="R82" s="100"/>
      <c r="S82" s="100"/>
      <c r="T82" s="183">
        <v>0.21</v>
      </c>
      <c r="U82" s="183">
        <v>0.21</v>
      </c>
      <c r="V82" s="100"/>
      <c r="W82" s="183">
        <v>0.21</v>
      </c>
      <c r="X82" s="101">
        <v>0.21</v>
      </c>
      <c r="Y82" s="100"/>
      <c r="Z82" s="100"/>
      <c r="AA82" s="100"/>
      <c r="AB82" s="101">
        <v>0.21</v>
      </c>
      <c r="AC82" s="101">
        <v>0.21</v>
      </c>
      <c r="AE82" s="179" t="s">
        <v>717</v>
      </c>
      <c r="AF82" s="170">
        <v>0.65</v>
      </c>
      <c r="AG82" s="170">
        <v>0.83</v>
      </c>
      <c r="AH82" s="179" t="s">
        <v>717</v>
      </c>
      <c r="AI82" s="170">
        <v>0.34</v>
      </c>
      <c r="AJ82" s="170">
        <v>0.56000000000000005</v>
      </c>
      <c r="AK82" s="170">
        <v>1.42</v>
      </c>
      <c r="AL82" s="191" t="s">
        <v>745</v>
      </c>
      <c r="AM82" s="170">
        <v>0.54</v>
      </c>
      <c r="AN82" s="170">
        <v>0.57999999999999996</v>
      </c>
      <c r="AO82" s="193">
        <v>0.65</v>
      </c>
      <c r="AP82" s="179" t="s">
        <v>717</v>
      </c>
      <c r="AQ82" s="193">
        <v>0.52</v>
      </c>
      <c r="AR82" s="180"/>
    </row>
    <row r="83" spans="1:44" x14ac:dyDescent="0.3">
      <c r="A83" s="179" t="s">
        <v>717</v>
      </c>
      <c r="B83" s="101">
        <v>0.25</v>
      </c>
      <c r="C83" s="100"/>
      <c r="D83" s="100"/>
      <c r="E83" s="100">
        <v>0.25</v>
      </c>
      <c r="F83" s="100">
        <v>0.25</v>
      </c>
      <c r="G83" s="100"/>
      <c r="H83" s="100">
        <v>0.25</v>
      </c>
      <c r="I83" s="101">
        <v>0.25</v>
      </c>
      <c r="J83" s="101"/>
      <c r="K83" s="100"/>
      <c r="L83" s="101"/>
      <c r="M83" s="101">
        <v>0.25</v>
      </c>
      <c r="N83" s="101">
        <v>0.25</v>
      </c>
      <c r="P83" s="179" t="s">
        <v>717</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718</v>
      </c>
      <c r="AF84" s="170">
        <v>0.94</v>
      </c>
      <c r="AG84" s="170">
        <v>1.19</v>
      </c>
      <c r="AH84" s="179" t="s">
        <v>718</v>
      </c>
      <c r="AI84" s="170">
        <v>0.6</v>
      </c>
      <c r="AJ84" s="170">
        <v>0.94</v>
      </c>
      <c r="AK84" s="170">
        <v>1.9</v>
      </c>
      <c r="AP84" s="179" t="s">
        <v>718</v>
      </c>
      <c r="AQ84" s="193">
        <v>0.52</v>
      </c>
      <c r="AR84" s="180"/>
    </row>
    <row r="85" spans="1:44" x14ac:dyDescent="0.3">
      <c r="A85" s="179" t="s">
        <v>718</v>
      </c>
      <c r="B85" s="101">
        <v>0.41</v>
      </c>
      <c r="C85" s="100"/>
      <c r="D85" s="100"/>
      <c r="E85" s="100">
        <v>0.41</v>
      </c>
      <c r="F85" s="100">
        <v>0.41</v>
      </c>
      <c r="G85" s="100"/>
      <c r="H85" s="100">
        <v>0.41</v>
      </c>
      <c r="I85" s="101">
        <v>0.41</v>
      </c>
      <c r="J85" s="101"/>
      <c r="K85" s="100"/>
      <c r="L85" s="101"/>
      <c r="M85" s="101">
        <v>0.41</v>
      </c>
      <c r="N85" s="101">
        <v>0.41</v>
      </c>
      <c r="P85" s="179" t="s">
        <v>718</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719</v>
      </c>
      <c r="AF86" s="170">
        <v>1.3</v>
      </c>
      <c r="AG86" s="170">
        <v>1.62</v>
      </c>
      <c r="AH86" s="179" t="s">
        <v>719</v>
      </c>
      <c r="AI86" s="170">
        <v>0.82</v>
      </c>
      <c r="AJ86" s="170">
        <v>1.22</v>
      </c>
      <c r="AK86" s="170">
        <v>3.44</v>
      </c>
      <c r="AP86" s="179" t="s">
        <v>719</v>
      </c>
      <c r="AQ86" s="193">
        <v>0.55000000000000004</v>
      </c>
      <c r="AR86" s="180"/>
    </row>
    <row r="87" spans="1:44" x14ac:dyDescent="0.3">
      <c r="A87" s="179" t="s">
        <v>719</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719</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746</v>
      </c>
      <c r="B107" s="100" t="s">
        <v>702</v>
      </c>
      <c r="C107" s="100" t="s">
        <v>703</v>
      </c>
      <c r="D107" s="100" t="s">
        <v>704</v>
      </c>
      <c r="E107" s="100" t="s">
        <v>705</v>
      </c>
      <c r="F107" s="100" t="s">
        <v>706</v>
      </c>
      <c r="G107" s="100" t="s">
        <v>707</v>
      </c>
      <c r="H107" s="100" t="s">
        <v>708</v>
      </c>
      <c r="I107" s="100" t="s">
        <v>709</v>
      </c>
      <c r="J107" s="100" t="s">
        <v>710</v>
      </c>
      <c r="K107" s="100" t="s">
        <v>711</v>
      </c>
      <c r="L107" s="100" t="s">
        <v>712</v>
      </c>
      <c r="M107" s="100" t="s">
        <v>713</v>
      </c>
      <c r="N107" s="100" t="s">
        <v>714</v>
      </c>
      <c r="P107" s="86" t="s">
        <v>747</v>
      </c>
      <c r="Q107" s="183" t="s">
        <v>702</v>
      </c>
      <c r="R107" s="183" t="s">
        <v>703</v>
      </c>
      <c r="S107" s="183" t="s">
        <v>704</v>
      </c>
      <c r="T107" s="183" t="s">
        <v>705</v>
      </c>
      <c r="U107" s="183" t="s">
        <v>706</v>
      </c>
      <c r="V107" s="183" t="s">
        <v>707</v>
      </c>
      <c r="W107" s="183" t="s">
        <v>708</v>
      </c>
      <c r="X107" s="183" t="s">
        <v>709</v>
      </c>
      <c r="Y107" s="183" t="s">
        <v>710</v>
      </c>
      <c r="Z107" s="183" t="s">
        <v>711</v>
      </c>
      <c r="AA107" s="183" t="s">
        <v>712</v>
      </c>
      <c r="AB107" s="183" t="s">
        <v>713</v>
      </c>
      <c r="AC107" s="183" t="s">
        <v>714</v>
      </c>
    </row>
    <row r="108" spans="1:44" x14ac:dyDescent="0.3">
      <c r="A108" s="179" t="s">
        <v>716</v>
      </c>
      <c r="B108" s="101">
        <v>0.86</v>
      </c>
      <c r="C108" s="100"/>
      <c r="D108" s="100"/>
      <c r="E108" s="100">
        <v>0.86</v>
      </c>
      <c r="F108" s="100">
        <v>0.86</v>
      </c>
      <c r="G108" s="100"/>
      <c r="H108" s="100">
        <v>0.86</v>
      </c>
      <c r="I108" s="101">
        <v>0.86</v>
      </c>
      <c r="J108" s="101"/>
      <c r="K108" s="100"/>
      <c r="L108" s="101"/>
      <c r="M108" s="101">
        <v>0.86</v>
      </c>
      <c r="N108" s="101">
        <v>0.86</v>
      </c>
      <c r="P108" s="179" t="s">
        <v>716</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717</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717</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718</v>
      </c>
      <c r="B111" s="101">
        <v>1.81</v>
      </c>
      <c r="C111" s="100"/>
      <c r="D111" s="100"/>
      <c r="E111" s="100">
        <v>1.81</v>
      </c>
      <c r="F111" s="100">
        <v>1.81</v>
      </c>
      <c r="G111" s="100"/>
      <c r="H111" s="100">
        <v>1.81</v>
      </c>
      <c r="I111" s="101">
        <v>1.81</v>
      </c>
      <c r="J111" s="101"/>
      <c r="K111" s="100"/>
      <c r="L111" s="101"/>
      <c r="M111" s="101">
        <v>1.81</v>
      </c>
      <c r="N111" s="101">
        <v>2.0499999999999998</v>
      </c>
      <c r="P111" s="179" t="s">
        <v>718</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719</v>
      </c>
      <c r="B113" s="101">
        <v>2.4</v>
      </c>
      <c r="C113" s="100"/>
      <c r="D113" s="100"/>
      <c r="E113" s="100">
        <v>2.4</v>
      </c>
      <c r="F113" s="100">
        <v>2.4</v>
      </c>
      <c r="G113" s="100"/>
      <c r="H113" s="100">
        <v>2.4</v>
      </c>
      <c r="I113" s="101">
        <v>2.4</v>
      </c>
      <c r="J113" s="101"/>
      <c r="K113" s="100"/>
      <c r="L113" s="101"/>
      <c r="M113" s="101">
        <v>2.4</v>
      </c>
      <c r="N113" s="101">
        <v>3.24</v>
      </c>
      <c r="P113" s="179" t="s">
        <v>719</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748</v>
      </c>
      <c r="B133" s="100" t="s">
        <v>702</v>
      </c>
      <c r="C133" s="100" t="s">
        <v>703</v>
      </c>
      <c r="D133" s="100" t="s">
        <v>704</v>
      </c>
      <c r="E133" s="100" t="s">
        <v>705</v>
      </c>
      <c r="F133" s="100" t="s">
        <v>706</v>
      </c>
      <c r="G133" s="100" t="s">
        <v>707</v>
      </c>
      <c r="H133" s="100" t="s">
        <v>708</v>
      </c>
      <c r="I133" s="100" t="s">
        <v>709</v>
      </c>
      <c r="J133" s="100" t="s">
        <v>710</v>
      </c>
      <c r="K133" s="100" t="s">
        <v>711</v>
      </c>
      <c r="L133" s="100" t="s">
        <v>712</v>
      </c>
      <c r="M133" s="100" t="s">
        <v>713</v>
      </c>
      <c r="N133" s="100" t="s">
        <v>714</v>
      </c>
      <c r="P133" s="86" t="s">
        <v>749</v>
      </c>
      <c r="Q133" s="183" t="s">
        <v>702</v>
      </c>
      <c r="R133" s="183" t="s">
        <v>703</v>
      </c>
      <c r="S133" s="183" t="s">
        <v>704</v>
      </c>
      <c r="T133" s="183" t="s">
        <v>705</v>
      </c>
      <c r="U133" s="183" t="s">
        <v>706</v>
      </c>
      <c r="V133" s="183" t="s">
        <v>707</v>
      </c>
      <c r="W133" s="183" t="s">
        <v>708</v>
      </c>
      <c r="X133" s="183" t="s">
        <v>709</v>
      </c>
      <c r="Y133" s="183" t="s">
        <v>710</v>
      </c>
      <c r="Z133" s="183" t="s">
        <v>711</v>
      </c>
      <c r="AA133" s="183" t="s">
        <v>712</v>
      </c>
      <c r="AB133" s="183" t="s">
        <v>713</v>
      </c>
      <c r="AC133" s="183" t="s">
        <v>714</v>
      </c>
    </row>
    <row r="134" spans="1:29" x14ac:dyDescent="0.3">
      <c r="A134" s="179" t="s">
        <v>716</v>
      </c>
      <c r="B134" s="101">
        <v>0.98</v>
      </c>
      <c r="C134" s="100"/>
      <c r="D134" s="100"/>
      <c r="E134" s="100">
        <v>0.98</v>
      </c>
      <c r="F134" s="100">
        <v>0.98</v>
      </c>
      <c r="G134" s="100"/>
      <c r="H134" s="100">
        <v>0.98</v>
      </c>
      <c r="I134" s="101">
        <v>0.98</v>
      </c>
      <c r="J134" s="101"/>
      <c r="K134" s="100"/>
      <c r="L134" s="101"/>
      <c r="M134" s="101">
        <v>0.98</v>
      </c>
      <c r="N134" s="101">
        <v>0.98</v>
      </c>
      <c r="P134" s="179" t="s">
        <v>716</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717</v>
      </c>
      <c r="B135" s="101">
        <v>1.32</v>
      </c>
      <c r="C135" s="100"/>
      <c r="D135" s="100"/>
      <c r="E135" s="100">
        <v>1.32</v>
      </c>
      <c r="F135" s="100">
        <v>1.32</v>
      </c>
      <c r="G135" s="100"/>
      <c r="H135" s="100">
        <v>1.32</v>
      </c>
      <c r="I135" s="101">
        <v>1.32</v>
      </c>
      <c r="J135" s="101"/>
      <c r="K135" s="100"/>
      <c r="L135" s="101"/>
      <c r="M135" s="101">
        <v>1.32</v>
      </c>
      <c r="N135" s="101">
        <v>1.32</v>
      </c>
      <c r="P135" s="179" t="s">
        <v>717</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718</v>
      </c>
      <c r="B137" s="101">
        <v>2.14</v>
      </c>
      <c r="C137" s="100"/>
      <c r="D137" s="100"/>
      <c r="E137" s="100">
        <v>2.14</v>
      </c>
      <c r="F137" s="100">
        <v>2.14</v>
      </c>
      <c r="G137" s="100"/>
      <c r="H137" s="100">
        <v>2.14</v>
      </c>
      <c r="I137" s="101">
        <v>2.14</v>
      </c>
      <c r="J137" s="101"/>
      <c r="K137" s="100"/>
      <c r="L137" s="101"/>
      <c r="M137" s="101">
        <v>2.14</v>
      </c>
      <c r="N137" s="101">
        <v>2.39</v>
      </c>
      <c r="P137" s="179" t="s">
        <v>718</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719</v>
      </c>
      <c r="B139" s="101">
        <v>2.88</v>
      </c>
      <c r="C139" s="100"/>
      <c r="D139" s="100"/>
      <c r="E139" s="100">
        <v>2.88</v>
      </c>
      <c r="F139" s="100">
        <v>2.88</v>
      </c>
      <c r="G139" s="100"/>
      <c r="H139" s="100">
        <v>2.88</v>
      </c>
      <c r="I139" s="101">
        <v>2.88</v>
      </c>
      <c r="J139" s="101"/>
      <c r="K139" s="100"/>
      <c r="L139" s="101"/>
      <c r="M139" s="101">
        <v>2.88</v>
      </c>
      <c r="N139" s="101">
        <v>3.86</v>
      </c>
      <c r="P139" s="179" t="s">
        <v>719</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750</v>
      </c>
      <c r="B159" s="100" t="s">
        <v>702</v>
      </c>
      <c r="C159" s="100" t="s">
        <v>703</v>
      </c>
      <c r="D159" s="100" t="s">
        <v>704</v>
      </c>
      <c r="E159" s="100" t="s">
        <v>705</v>
      </c>
      <c r="F159" s="100" t="s">
        <v>706</v>
      </c>
      <c r="G159" s="100" t="s">
        <v>707</v>
      </c>
      <c r="H159" s="100" t="s">
        <v>708</v>
      </c>
      <c r="I159" s="100" t="s">
        <v>709</v>
      </c>
      <c r="J159" s="100" t="s">
        <v>710</v>
      </c>
      <c r="K159" s="100" t="s">
        <v>711</v>
      </c>
      <c r="L159" s="100" t="s">
        <v>712</v>
      </c>
      <c r="M159" s="100" t="s">
        <v>713</v>
      </c>
      <c r="N159" s="100" t="s">
        <v>714</v>
      </c>
      <c r="P159" s="86" t="s">
        <v>751</v>
      </c>
      <c r="Q159" s="183" t="s">
        <v>702</v>
      </c>
      <c r="R159" s="183" t="s">
        <v>703</v>
      </c>
      <c r="S159" s="183" t="s">
        <v>704</v>
      </c>
      <c r="T159" s="183" t="s">
        <v>705</v>
      </c>
      <c r="U159" s="183" t="s">
        <v>706</v>
      </c>
      <c r="V159" s="183" t="s">
        <v>707</v>
      </c>
      <c r="W159" s="183" t="s">
        <v>708</v>
      </c>
      <c r="X159" s="183" t="s">
        <v>709</v>
      </c>
      <c r="Y159" s="183" t="s">
        <v>710</v>
      </c>
      <c r="Z159" s="183" t="s">
        <v>711</v>
      </c>
      <c r="AA159" s="183" t="s">
        <v>712</v>
      </c>
      <c r="AB159" s="183" t="s">
        <v>713</v>
      </c>
      <c r="AC159" s="183" t="s">
        <v>714</v>
      </c>
    </row>
    <row r="160" spans="1:29" x14ac:dyDescent="0.3">
      <c r="A160" s="179" t="s">
        <v>716</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716</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717</v>
      </c>
      <c r="B161" s="101">
        <v>1.62</v>
      </c>
      <c r="C161" s="100"/>
      <c r="D161" s="100"/>
      <c r="E161" s="100">
        <v>1.62</v>
      </c>
      <c r="F161" s="100">
        <v>1.62</v>
      </c>
      <c r="G161" s="100"/>
      <c r="H161" s="100">
        <v>1.62</v>
      </c>
      <c r="I161" s="101">
        <v>1.62</v>
      </c>
      <c r="J161" s="101"/>
      <c r="K161" s="100"/>
      <c r="L161" s="101"/>
      <c r="M161" s="101">
        <v>1.62</v>
      </c>
      <c r="N161" s="101">
        <v>1.62</v>
      </c>
      <c r="P161" s="179" t="s">
        <v>717</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718</v>
      </c>
      <c r="B163" s="101">
        <v>2.62</v>
      </c>
      <c r="C163" s="100"/>
      <c r="D163" s="100"/>
      <c r="E163" s="100">
        <v>2.62</v>
      </c>
      <c r="F163" s="100">
        <v>2.62</v>
      </c>
      <c r="G163" s="100"/>
      <c r="H163" s="100">
        <v>2.62</v>
      </c>
      <c r="I163" s="101">
        <v>2.62</v>
      </c>
      <c r="J163" s="101"/>
      <c r="K163" s="100"/>
      <c r="L163" s="101"/>
      <c r="M163" s="101">
        <v>2.62</v>
      </c>
      <c r="N163" s="101">
        <v>2.97</v>
      </c>
      <c r="P163" s="179" t="s">
        <v>718</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719</v>
      </c>
      <c r="B165" s="101">
        <v>3.5</v>
      </c>
      <c r="C165" s="100"/>
      <c r="D165" s="100"/>
      <c r="E165" s="100">
        <v>3.5</v>
      </c>
      <c r="F165" s="100">
        <v>3.5</v>
      </c>
      <c r="G165" s="100"/>
      <c r="H165" s="100">
        <v>3.5</v>
      </c>
      <c r="I165" s="101">
        <v>3.5</v>
      </c>
      <c r="J165" s="101"/>
      <c r="K165" s="100"/>
      <c r="L165" s="101"/>
      <c r="M165" s="101">
        <v>3.5</v>
      </c>
      <c r="N165" s="101">
        <v>4.74</v>
      </c>
      <c r="P165" s="179" t="s">
        <v>719</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752</v>
      </c>
      <c r="B185" s="100" t="s">
        <v>702</v>
      </c>
      <c r="C185" s="100" t="s">
        <v>703</v>
      </c>
      <c r="D185" s="100" t="s">
        <v>704</v>
      </c>
      <c r="E185" s="100" t="s">
        <v>705</v>
      </c>
      <c r="F185" s="100" t="s">
        <v>706</v>
      </c>
      <c r="G185" s="100" t="s">
        <v>707</v>
      </c>
      <c r="H185" s="100" t="s">
        <v>708</v>
      </c>
      <c r="I185" s="100" t="s">
        <v>709</v>
      </c>
      <c r="J185" s="100" t="s">
        <v>710</v>
      </c>
      <c r="K185" s="100" t="s">
        <v>711</v>
      </c>
      <c r="L185" s="100" t="s">
        <v>712</v>
      </c>
      <c r="M185" s="100" t="s">
        <v>713</v>
      </c>
      <c r="N185" s="100" t="s">
        <v>714</v>
      </c>
      <c r="P185" s="86" t="s">
        <v>753</v>
      </c>
      <c r="Q185" s="183" t="s">
        <v>702</v>
      </c>
      <c r="R185" s="183" t="s">
        <v>703</v>
      </c>
      <c r="S185" s="183" t="s">
        <v>704</v>
      </c>
      <c r="T185" s="183" t="s">
        <v>705</v>
      </c>
      <c r="U185" s="183" t="s">
        <v>706</v>
      </c>
      <c r="V185" s="183" t="s">
        <v>707</v>
      </c>
      <c r="W185" s="183" t="s">
        <v>708</v>
      </c>
      <c r="X185" s="183" t="s">
        <v>709</v>
      </c>
      <c r="Y185" s="183" t="s">
        <v>710</v>
      </c>
      <c r="Z185" s="183" t="s">
        <v>711</v>
      </c>
      <c r="AA185" s="183" t="s">
        <v>712</v>
      </c>
      <c r="AB185" s="183" t="s">
        <v>713</v>
      </c>
      <c r="AC185" s="183" t="s">
        <v>714</v>
      </c>
    </row>
    <row r="186" spans="1:29" x14ac:dyDescent="0.3">
      <c r="A186" s="179" t="s">
        <v>716</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716</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717</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717</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718</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718</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719</v>
      </c>
      <c r="B191" s="101">
        <v>0.22</v>
      </c>
      <c r="C191" s="100"/>
      <c r="D191" s="100"/>
      <c r="E191" s="100">
        <v>0.22</v>
      </c>
      <c r="F191" s="100">
        <v>0.22</v>
      </c>
      <c r="G191" s="100"/>
      <c r="H191" s="100">
        <v>0.22</v>
      </c>
      <c r="I191" s="101">
        <v>0.22</v>
      </c>
      <c r="J191" s="101"/>
      <c r="K191" s="100"/>
      <c r="L191" s="101"/>
      <c r="M191" s="101">
        <v>0.22</v>
      </c>
      <c r="N191" s="101">
        <v>0.27</v>
      </c>
      <c r="P191" s="179" t="s">
        <v>719</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754</v>
      </c>
      <c r="B211" s="100" t="s">
        <v>702</v>
      </c>
      <c r="C211" s="100" t="s">
        <v>703</v>
      </c>
      <c r="D211" s="100" t="s">
        <v>704</v>
      </c>
      <c r="E211" s="100" t="s">
        <v>705</v>
      </c>
      <c r="F211" s="100" t="s">
        <v>706</v>
      </c>
      <c r="G211" s="100" t="s">
        <v>707</v>
      </c>
      <c r="H211" s="100" t="s">
        <v>708</v>
      </c>
      <c r="I211" s="100" t="s">
        <v>709</v>
      </c>
      <c r="J211" s="100" t="s">
        <v>710</v>
      </c>
      <c r="K211" s="100" t="s">
        <v>711</v>
      </c>
      <c r="L211" s="100" t="s">
        <v>712</v>
      </c>
      <c r="M211" s="100" t="s">
        <v>713</v>
      </c>
      <c r="N211" s="100" t="s">
        <v>714</v>
      </c>
      <c r="P211" s="86" t="s">
        <v>755</v>
      </c>
      <c r="Q211" s="183" t="s">
        <v>702</v>
      </c>
      <c r="R211" s="183" t="s">
        <v>703</v>
      </c>
      <c r="S211" s="183" t="s">
        <v>704</v>
      </c>
      <c r="T211" s="183" t="s">
        <v>705</v>
      </c>
      <c r="U211" s="183" t="s">
        <v>706</v>
      </c>
      <c r="V211" s="183" t="s">
        <v>707</v>
      </c>
      <c r="W211" s="183" t="s">
        <v>708</v>
      </c>
      <c r="X211" s="183" t="s">
        <v>709</v>
      </c>
      <c r="Y211" s="183" t="s">
        <v>710</v>
      </c>
      <c r="Z211" s="183" t="s">
        <v>711</v>
      </c>
      <c r="AA211" s="183" t="s">
        <v>712</v>
      </c>
      <c r="AB211" s="183" t="s">
        <v>713</v>
      </c>
      <c r="AC211" s="183" t="s">
        <v>714</v>
      </c>
    </row>
    <row r="212" spans="1:29" x14ac:dyDescent="0.3">
      <c r="A212" s="179" t="s">
        <v>716</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716</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717</v>
      </c>
      <c r="B213" s="101">
        <v>0.11</v>
      </c>
      <c r="C213" s="100"/>
      <c r="D213" s="100"/>
      <c r="E213" s="100">
        <v>0.11</v>
      </c>
      <c r="F213" s="100">
        <v>0.11</v>
      </c>
      <c r="G213" s="100"/>
      <c r="H213" s="100">
        <v>0.11</v>
      </c>
      <c r="I213" s="101">
        <v>0.11</v>
      </c>
      <c r="J213" s="101"/>
      <c r="K213" s="100"/>
      <c r="L213" s="101"/>
      <c r="M213" s="101">
        <v>0.11</v>
      </c>
      <c r="N213" s="101">
        <v>0.11</v>
      </c>
      <c r="P213" s="179" t="s">
        <v>717</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718</v>
      </c>
      <c r="B215" s="101">
        <v>0.18</v>
      </c>
      <c r="C215" s="100"/>
      <c r="D215" s="100"/>
      <c r="E215" s="100">
        <v>0.18</v>
      </c>
      <c r="F215" s="100">
        <v>0.18</v>
      </c>
      <c r="G215" s="100"/>
      <c r="H215" s="100">
        <v>0.18</v>
      </c>
      <c r="I215" s="101">
        <v>0.18</v>
      </c>
      <c r="J215" s="101"/>
      <c r="K215" s="100"/>
      <c r="L215" s="101"/>
      <c r="M215" s="101">
        <v>0.18</v>
      </c>
      <c r="N215" s="101">
        <v>0.18</v>
      </c>
      <c r="P215" s="179" t="s">
        <v>718</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719</v>
      </c>
      <c r="B217" s="101">
        <v>0.26</v>
      </c>
      <c r="C217" s="100"/>
      <c r="D217" s="100"/>
      <c r="E217" s="100">
        <v>0.26</v>
      </c>
      <c r="F217" s="100">
        <v>0.26</v>
      </c>
      <c r="G217" s="100"/>
      <c r="H217" s="100">
        <v>0.26</v>
      </c>
      <c r="I217" s="101">
        <v>0.26</v>
      </c>
      <c r="J217" s="101"/>
      <c r="K217" s="100"/>
      <c r="L217" s="101"/>
      <c r="M217" s="101">
        <v>0.26</v>
      </c>
      <c r="N217" s="101">
        <v>0.31</v>
      </c>
      <c r="P217" s="179" t="s">
        <v>719</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756</v>
      </c>
      <c r="B237" s="100" t="s">
        <v>702</v>
      </c>
      <c r="C237" s="100" t="s">
        <v>703</v>
      </c>
      <c r="D237" s="100" t="s">
        <v>704</v>
      </c>
      <c r="E237" s="100" t="s">
        <v>705</v>
      </c>
      <c r="F237" s="100" t="s">
        <v>706</v>
      </c>
      <c r="G237" s="100" t="s">
        <v>707</v>
      </c>
      <c r="H237" s="100" t="s">
        <v>708</v>
      </c>
      <c r="I237" s="100" t="s">
        <v>709</v>
      </c>
      <c r="J237" s="100" t="s">
        <v>710</v>
      </c>
      <c r="K237" s="100" t="s">
        <v>711</v>
      </c>
      <c r="L237" s="100" t="s">
        <v>712</v>
      </c>
      <c r="M237" s="100" t="s">
        <v>713</v>
      </c>
      <c r="N237" s="100" t="s">
        <v>714</v>
      </c>
      <c r="P237" s="86" t="s">
        <v>757</v>
      </c>
      <c r="Q237" s="183" t="s">
        <v>702</v>
      </c>
      <c r="R237" s="183" t="s">
        <v>703</v>
      </c>
      <c r="S237" s="183" t="s">
        <v>704</v>
      </c>
      <c r="T237" s="183" t="s">
        <v>705</v>
      </c>
      <c r="U237" s="183" t="s">
        <v>706</v>
      </c>
      <c r="V237" s="183" t="s">
        <v>707</v>
      </c>
      <c r="W237" s="183" t="s">
        <v>708</v>
      </c>
      <c r="X237" s="183" t="s">
        <v>709</v>
      </c>
      <c r="Y237" s="183" t="s">
        <v>710</v>
      </c>
      <c r="Z237" s="183" t="s">
        <v>711</v>
      </c>
      <c r="AA237" s="183" t="s">
        <v>712</v>
      </c>
      <c r="AB237" s="183" t="s">
        <v>713</v>
      </c>
      <c r="AC237" s="183" t="s">
        <v>714</v>
      </c>
    </row>
    <row r="238" spans="1:29" x14ac:dyDescent="0.3">
      <c r="A238" s="179" t="s">
        <v>716</v>
      </c>
      <c r="B238" s="101">
        <v>0.11</v>
      </c>
      <c r="C238" s="100"/>
      <c r="D238" s="100"/>
      <c r="E238" s="100">
        <v>0.11</v>
      </c>
      <c r="F238" s="100">
        <v>0.11</v>
      </c>
      <c r="G238" s="100"/>
      <c r="H238" s="100">
        <v>0.11</v>
      </c>
      <c r="I238" s="101">
        <v>0.11</v>
      </c>
      <c r="J238" s="101"/>
      <c r="K238" s="100"/>
      <c r="L238" s="101"/>
      <c r="M238" s="101">
        <v>0.11</v>
      </c>
      <c r="N238" s="101">
        <v>0.11</v>
      </c>
      <c r="P238" s="179" t="s">
        <v>716</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717</v>
      </c>
      <c r="B239" s="101">
        <v>0.15</v>
      </c>
      <c r="C239" s="100"/>
      <c r="D239" s="100"/>
      <c r="E239" s="100">
        <v>0.15</v>
      </c>
      <c r="F239" s="100">
        <v>0.15</v>
      </c>
      <c r="G239" s="100"/>
      <c r="H239" s="100">
        <v>0.15</v>
      </c>
      <c r="I239" s="101">
        <v>0.15</v>
      </c>
      <c r="J239" s="101"/>
      <c r="K239" s="100"/>
      <c r="L239" s="101"/>
      <c r="M239" s="101">
        <v>0.15</v>
      </c>
      <c r="N239" s="101">
        <v>0.15</v>
      </c>
      <c r="P239" s="179" t="s">
        <v>717</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718</v>
      </c>
      <c r="B241" s="101">
        <v>0.18</v>
      </c>
      <c r="C241" s="100"/>
      <c r="D241" s="100"/>
      <c r="E241" s="100">
        <v>0.18</v>
      </c>
      <c r="F241" s="100">
        <v>0.18</v>
      </c>
      <c r="G241" s="100"/>
      <c r="H241" s="100">
        <v>0.18</v>
      </c>
      <c r="I241" s="101">
        <v>0.18</v>
      </c>
      <c r="J241" s="101"/>
      <c r="K241" s="100"/>
      <c r="L241" s="101"/>
      <c r="M241" s="101">
        <v>0.18</v>
      </c>
      <c r="N241" s="101">
        <v>0.18</v>
      </c>
      <c r="P241" s="179" t="s">
        <v>718</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719</v>
      </c>
      <c r="B243" s="101">
        <v>0.24</v>
      </c>
      <c r="C243" s="100"/>
      <c r="D243" s="100"/>
      <c r="E243" s="100">
        <v>0.24</v>
      </c>
      <c r="F243" s="100">
        <v>0.24</v>
      </c>
      <c r="G243" s="100"/>
      <c r="H243" s="100">
        <v>0.24</v>
      </c>
      <c r="I243" s="101">
        <v>0.24</v>
      </c>
      <c r="J243" s="101"/>
      <c r="K243" s="100"/>
      <c r="L243" s="101"/>
      <c r="M243" s="101">
        <v>0.24</v>
      </c>
      <c r="N243" s="101">
        <v>0.26</v>
      </c>
      <c r="P243" s="179" t="s">
        <v>719</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758</v>
      </c>
      <c r="B263" s="100" t="s">
        <v>702</v>
      </c>
      <c r="C263" s="100" t="s">
        <v>703</v>
      </c>
      <c r="D263" s="100" t="s">
        <v>704</v>
      </c>
      <c r="E263" s="100" t="s">
        <v>705</v>
      </c>
      <c r="F263" s="100" t="s">
        <v>706</v>
      </c>
      <c r="G263" s="100" t="s">
        <v>707</v>
      </c>
      <c r="H263" s="100" t="s">
        <v>708</v>
      </c>
      <c r="I263" s="100" t="s">
        <v>709</v>
      </c>
      <c r="J263" s="100" t="s">
        <v>710</v>
      </c>
      <c r="K263" s="100" t="s">
        <v>711</v>
      </c>
      <c r="L263" s="100" t="s">
        <v>712</v>
      </c>
      <c r="M263" s="100" t="s">
        <v>713</v>
      </c>
      <c r="N263" s="100" t="s">
        <v>714</v>
      </c>
      <c r="P263" s="86" t="s">
        <v>759</v>
      </c>
      <c r="Q263" s="183" t="s">
        <v>702</v>
      </c>
      <c r="R263" s="183" t="s">
        <v>703</v>
      </c>
      <c r="S263" s="183" t="s">
        <v>704</v>
      </c>
      <c r="T263" s="183" t="s">
        <v>705</v>
      </c>
      <c r="U263" s="183" t="s">
        <v>706</v>
      </c>
      <c r="V263" s="183" t="s">
        <v>707</v>
      </c>
      <c r="W263" s="183" t="s">
        <v>708</v>
      </c>
      <c r="X263" s="183" t="s">
        <v>709</v>
      </c>
      <c r="Y263" s="183" t="s">
        <v>710</v>
      </c>
      <c r="Z263" s="183" t="s">
        <v>711</v>
      </c>
      <c r="AA263" s="183" t="s">
        <v>712</v>
      </c>
      <c r="AB263" s="183" t="s">
        <v>713</v>
      </c>
      <c r="AC263" s="183" t="s">
        <v>714</v>
      </c>
    </row>
    <row r="264" spans="1:29" x14ac:dyDescent="0.3">
      <c r="A264" s="179" t="s">
        <v>716</v>
      </c>
      <c r="B264" s="101">
        <v>0.11</v>
      </c>
      <c r="C264" s="100"/>
      <c r="D264" s="100"/>
      <c r="E264" s="100">
        <v>0.11</v>
      </c>
      <c r="F264" s="100">
        <v>0.11</v>
      </c>
      <c r="G264" s="100"/>
      <c r="H264" s="100">
        <v>0.11</v>
      </c>
      <c r="I264" s="101">
        <v>0.11</v>
      </c>
      <c r="J264" s="101"/>
      <c r="K264" s="100"/>
      <c r="L264" s="101"/>
      <c r="M264" s="101">
        <v>0.11</v>
      </c>
      <c r="N264" s="101">
        <v>0.11</v>
      </c>
      <c r="P264" s="179" t="s">
        <v>716</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717</v>
      </c>
      <c r="B265" s="101">
        <v>0.11</v>
      </c>
      <c r="C265" s="100"/>
      <c r="D265" s="100"/>
      <c r="E265" s="100">
        <v>0.11</v>
      </c>
      <c r="F265" s="100">
        <v>0.11</v>
      </c>
      <c r="G265" s="100"/>
      <c r="H265" s="100">
        <v>0.11</v>
      </c>
      <c r="I265" s="101">
        <v>0.11</v>
      </c>
      <c r="J265" s="101"/>
      <c r="K265" s="100"/>
      <c r="L265" s="101"/>
      <c r="M265" s="101">
        <v>0.11</v>
      </c>
      <c r="N265" s="101">
        <v>0.11</v>
      </c>
      <c r="P265" s="179" t="s">
        <v>717</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718</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718</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719</v>
      </c>
      <c r="B269" s="101">
        <v>0.22</v>
      </c>
      <c r="C269" s="100"/>
      <c r="D269" s="100"/>
      <c r="E269" s="100">
        <v>0.22</v>
      </c>
      <c r="F269" s="100">
        <v>0.22</v>
      </c>
      <c r="G269" s="100"/>
      <c r="H269" s="100">
        <v>0.22</v>
      </c>
      <c r="I269" s="101">
        <v>0.22</v>
      </c>
      <c r="J269" s="101"/>
      <c r="K269" s="100"/>
      <c r="L269" s="101"/>
      <c r="M269" s="101">
        <v>0.22</v>
      </c>
      <c r="N269" s="101">
        <v>0.22</v>
      </c>
      <c r="P269" s="179" t="s">
        <v>719</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760</v>
      </c>
      <c r="B289" s="100" t="s">
        <v>702</v>
      </c>
      <c r="C289" s="100" t="s">
        <v>703</v>
      </c>
      <c r="D289" s="100" t="s">
        <v>704</v>
      </c>
      <c r="E289" s="100" t="s">
        <v>705</v>
      </c>
      <c r="F289" s="100" t="s">
        <v>706</v>
      </c>
      <c r="G289" s="100" t="s">
        <v>707</v>
      </c>
      <c r="H289" s="100" t="s">
        <v>708</v>
      </c>
      <c r="I289" s="100" t="s">
        <v>709</v>
      </c>
      <c r="J289" s="100" t="s">
        <v>710</v>
      </c>
      <c r="K289" s="100" t="s">
        <v>711</v>
      </c>
      <c r="L289" s="100" t="s">
        <v>712</v>
      </c>
      <c r="M289" s="100" t="s">
        <v>713</v>
      </c>
      <c r="N289" s="100" t="s">
        <v>714</v>
      </c>
      <c r="P289" s="86" t="s">
        <v>761</v>
      </c>
      <c r="Q289" s="183" t="s">
        <v>702</v>
      </c>
      <c r="R289" s="183" t="s">
        <v>703</v>
      </c>
      <c r="S289" s="183" t="s">
        <v>704</v>
      </c>
      <c r="T289" s="183" t="s">
        <v>705</v>
      </c>
      <c r="U289" s="183" t="s">
        <v>706</v>
      </c>
      <c r="V289" s="183" t="s">
        <v>707</v>
      </c>
      <c r="W289" s="183" t="s">
        <v>708</v>
      </c>
      <c r="X289" s="183" t="s">
        <v>709</v>
      </c>
      <c r="Y289" s="183" t="s">
        <v>710</v>
      </c>
      <c r="Z289" s="183" t="s">
        <v>711</v>
      </c>
      <c r="AA289" s="183" t="s">
        <v>712</v>
      </c>
      <c r="AB289" s="183" t="s">
        <v>713</v>
      </c>
      <c r="AC289" s="183" t="s">
        <v>714</v>
      </c>
    </row>
    <row r="290" spans="1:29" x14ac:dyDescent="0.3">
      <c r="A290" s="179" t="s">
        <v>716</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716</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717</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717</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718</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718</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719</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719</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762</v>
      </c>
      <c r="B315" s="100" t="s">
        <v>702</v>
      </c>
      <c r="C315" s="100" t="s">
        <v>703</v>
      </c>
      <c r="D315" s="100" t="s">
        <v>704</v>
      </c>
      <c r="E315" s="100" t="s">
        <v>705</v>
      </c>
      <c r="F315" s="100" t="s">
        <v>706</v>
      </c>
      <c r="G315" s="100" t="s">
        <v>707</v>
      </c>
      <c r="H315" s="100" t="s">
        <v>708</v>
      </c>
      <c r="I315" s="100" t="s">
        <v>709</v>
      </c>
      <c r="J315" s="100" t="s">
        <v>710</v>
      </c>
      <c r="K315" s="100" t="s">
        <v>711</v>
      </c>
      <c r="L315" s="100" t="s">
        <v>712</v>
      </c>
      <c r="M315" s="100" t="s">
        <v>713</v>
      </c>
      <c r="N315" s="100" t="s">
        <v>714</v>
      </c>
      <c r="P315" s="86" t="s">
        <v>763</v>
      </c>
      <c r="Q315" s="183" t="s">
        <v>702</v>
      </c>
      <c r="R315" s="183" t="s">
        <v>703</v>
      </c>
      <c r="S315" s="183" t="s">
        <v>704</v>
      </c>
      <c r="T315" s="183" t="s">
        <v>705</v>
      </c>
      <c r="U315" s="183" t="s">
        <v>706</v>
      </c>
      <c r="V315" s="183" t="s">
        <v>707</v>
      </c>
      <c r="W315" s="183" t="s">
        <v>708</v>
      </c>
      <c r="X315" s="183" t="s">
        <v>709</v>
      </c>
      <c r="Y315" s="183" t="s">
        <v>710</v>
      </c>
      <c r="Z315" s="183" t="s">
        <v>711</v>
      </c>
      <c r="AA315" s="183" t="s">
        <v>712</v>
      </c>
      <c r="AB315" s="183" t="s">
        <v>713</v>
      </c>
      <c r="AC315" s="183" t="s">
        <v>714</v>
      </c>
    </row>
    <row r="316" spans="1:29" x14ac:dyDescent="0.3">
      <c r="A316" s="179" t="s">
        <v>716</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716</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717</v>
      </c>
      <c r="B317" s="101">
        <v>0.85</v>
      </c>
      <c r="C317" s="100"/>
      <c r="D317" s="100"/>
      <c r="E317" s="100">
        <v>0.85</v>
      </c>
      <c r="F317" s="100">
        <v>0.85</v>
      </c>
      <c r="G317" s="100"/>
      <c r="H317" s="100">
        <v>0.85</v>
      </c>
      <c r="I317" s="101">
        <v>0.85</v>
      </c>
      <c r="J317" s="101"/>
      <c r="K317" s="100"/>
      <c r="L317" s="101"/>
      <c r="M317" s="101">
        <v>0.85</v>
      </c>
      <c r="N317" s="101">
        <v>0.85</v>
      </c>
      <c r="P317" s="179" t="s">
        <v>717</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718</v>
      </c>
      <c r="B319" s="101">
        <v>1.4</v>
      </c>
      <c r="C319" s="100"/>
      <c r="D319" s="100"/>
      <c r="E319" s="100">
        <v>1.4</v>
      </c>
      <c r="F319" s="100">
        <v>1.4</v>
      </c>
      <c r="G319" s="100"/>
      <c r="H319" s="100">
        <v>1.4</v>
      </c>
      <c r="I319" s="101">
        <v>1.4</v>
      </c>
      <c r="J319" s="101"/>
      <c r="K319" s="100"/>
      <c r="L319" s="101"/>
      <c r="M319" s="101">
        <v>1.4</v>
      </c>
      <c r="N319" s="101">
        <v>1.54</v>
      </c>
      <c r="P319" s="179" t="s">
        <v>718</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719</v>
      </c>
      <c r="B321" s="101">
        <v>1.92</v>
      </c>
      <c r="C321" s="100"/>
      <c r="D321" s="100"/>
      <c r="E321" s="100">
        <v>1.92</v>
      </c>
      <c r="F321" s="100">
        <v>1.92</v>
      </c>
      <c r="G321" s="100"/>
      <c r="H321" s="100">
        <v>1.92</v>
      </c>
      <c r="I321" s="101">
        <v>1.92</v>
      </c>
      <c r="J321" s="101"/>
      <c r="K321" s="100"/>
      <c r="L321" s="101"/>
      <c r="M321" s="101">
        <v>1.92</v>
      </c>
      <c r="N321" s="101">
        <v>2.5</v>
      </c>
      <c r="P321" s="179" t="s">
        <v>719</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764</v>
      </c>
      <c r="B341" s="100" t="s">
        <v>702</v>
      </c>
      <c r="C341" s="100" t="s">
        <v>703</v>
      </c>
      <c r="D341" s="100" t="s">
        <v>704</v>
      </c>
      <c r="E341" s="100" t="s">
        <v>705</v>
      </c>
      <c r="F341" s="100" t="s">
        <v>706</v>
      </c>
      <c r="G341" s="100" t="s">
        <v>707</v>
      </c>
      <c r="H341" s="100" t="s">
        <v>708</v>
      </c>
      <c r="I341" s="100" t="s">
        <v>709</v>
      </c>
      <c r="J341" s="100" t="s">
        <v>710</v>
      </c>
      <c r="K341" s="100" t="s">
        <v>711</v>
      </c>
      <c r="L341" s="100" t="s">
        <v>712</v>
      </c>
      <c r="M341" s="100" t="s">
        <v>713</v>
      </c>
      <c r="N341" s="100" t="s">
        <v>714</v>
      </c>
      <c r="P341" s="86" t="s">
        <v>765</v>
      </c>
      <c r="Q341" s="183" t="s">
        <v>702</v>
      </c>
      <c r="R341" s="183" t="s">
        <v>703</v>
      </c>
      <c r="S341" s="183" t="s">
        <v>704</v>
      </c>
      <c r="T341" s="183" t="s">
        <v>705</v>
      </c>
      <c r="U341" s="183" t="s">
        <v>706</v>
      </c>
      <c r="V341" s="183" t="s">
        <v>707</v>
      </c>
      <c r="W341" s="183" t="s">
        <v>708</v>
      </c>
      <c r="X341" s="183" t="s">
        <v>709</v>
      </c>
      <c r="Y341" s="183" t="s">
        <v>710</v>
      </c>
      <c r="Z341" s="183" t="s">
        <v>711</v>
      </c>
      <c r="AA341" s="183" t="s">
        <v>712</v>
      </c>
      <c r="AB341" s="183" t="s">
        <v>713</v>
      </c>
      <c r="AC341" s="183" t="s">
        <v>714</v>
      </c>
    </row>
    <row r="342" spans="1:29" x14ac:dyDescent="0.3">
      <c r="A342" s="179" t="s">
        <v>716</v>
      </c>
      <c r="B342" s="101">
        <v>0.81</v>
      </c>
      <c r="C342" s="100"/>
      <c r="D342" s="100"/>
      <c r="E342" s="100">
        <v>0.81</v>
      </c>
      <c r="F342" s="100">
        <v>0.81</v>
      </c>
      <c r="G342" s="100"/>
      <c r="H342" s="100">
        <v>0.81</v>
      </c>
      <c r="I342" s="101">
        <v>0.81</v>
      </c>
      <c r="J342" s="101"/>
      <c r="K342" s="100"/>
      <c r="L342" s="101"/>
      <c r="M342" s="101">
        <v>0.81</v>
      </c>
      <c r="N342" s="101">
        <v>0.81</v>
      </c>
      <c r="P342" s="179" t="s">
        <v>716</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717</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717</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718</v>
      </c>
      <c r="B345" s="101">
        <v>1.82</v>
      </c>
      <c r="C345" s="100"/>
      <c r="D345" s="100"/>
      <c r="E345" s="100">
        <v>1.82</v>
      </c>
      <c r="F345" s="100">
        <v>1.82</v>
      </c>
      <c r="G345" s="100"/>
      <c r="H345" s="100">
        <v>1.82</v>
      </c>
      <c r="I345" s="101">
        <v>1.82</v>
      </c>
      <c r="J345" s="101"/>
      <c r="K345" s="100"/>
      <c r="L345" s="101"/>
      <c r="M345" s="101">
        <v>1.82</v>
      </c>
      <c r="N345" s="101">
        <v>1.96</v>
      </c>
      <c r="P345" s="179" t="s">
        <v>718</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719</v>
      </c>
      <c r="B347" s="101">
        <v>2.57</v>
      </c>
      <c r="C347" s="100"/>
      <c r="D347" s="100"/>
      <c r="E347" s="100">
        <v>2.57</v>
      </c>
      <c r="F347" s="100">
        <v>2.57</v>
      </c>
      <c r="G347" s="100"/>
      <c r="H347" s="100">
        <v>2.57</v>
      </c>
      <c r="I347" s="101">
        <v>2.57</v>
      </c>
      <c r="J347" s="101"/>
      <c r="K347" s="100"/>
      <c r="L347" s="101"/>
      <c r="M347" s="101">
        <v>2.57</v>
      </c>
      <c r="N347" s="101">
        <v>3.31</v>
      </c>
      <c r="P347" s="179" t="s">
        <v>719</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766</v>
      </c>
      <c r="B367" s="100" t="s">
        <v>702</v>
      </c>
      <c r="C367" s="100" t="s">
        <v>703</v>
      </c>
      <c r="D367" s="100" t="s">
        <v>704</v>
      </c>
      <c r="E367" s="100" t="s">
        <v>705</v>
      </c>
      <c r="F367" s="100" t="s">
        <v>706</v>
      </c>
      <c r="G367" s="100" t="s">
        <v>707</v>
      </c>
      <c r="H367" s="100" t="s">
        <v>708</v>
      </c>
      <c r="I367" s="100" t="s">
        <v>709</v>
      </c>
      <c r="J367" s="100" t="s">
        <v>710</v>
      </c>
      <c r="K367" s="100" t="s">
        <v>711</v>
      </c>
      <c r="L367" s="100" t="s">
        <v>712</v>
      </c>
      <c r="M367" s="100" t="s">
        <v>713</v>
      </c>
      <c r="N367" s="100" t="s">
        <v>714</v>
      </c>
      <c r="P367" s="86" t="s">
        <v>767</v>
      </c>
      <c r="Q367" s="183" t="s">
        <v>702</v>
      </c>
      <c r="R367" s="183" t="s">
        <v>703</v>
      </c>
      <c r="S367" s="183" t="s">
        <v>704</v>
      </c>
      <c r="T367" s="183" t="s">
        <v>705</v>
      </c>
      <c r="U367" s="183" t="s">
        <v>706</v>
      </c>
      <c r="V367" s="183" t="s">
        <v>707</v>
      </c>
      <c r="W367" s="183" t="s">
        <v>708</v>
      </c>
      <c r="X367" s="183" t="s">
        <v>709</v>
      </c>
      <c r="Y367" s="183" t="s">
        <v>710</v>
      </c>
      <c r="Z367" s="183" t="s">
        <v>711</v>
      </c>
      <c r="AA367" s="183" t="s">
        <v>712</v>
      </c>
      <c r="AB367" s="183" t="s">
        <v>713</v>
      </c>
      <c r="AC367" s="183" t="s">
        <v>714</v>
      </c>
    </row>
    <row r="368" spans="1:29" x14ac:dyDescent="0.3">
      <c r="A368" s="179" t="s">
        <v>716</v>
      </c>
      <c r="B368" s="101">
        <v>1.54</v>
      </c>
      <c r="C368" s="100"/>
      <c r="D368" s="100"/>
      <c r="E368" s="100">
        <v>1.54</v>
      </c>
      <c r="F368" s="100">
        <v>1.54</v>
      </c>
      <c r="G368" s="100"/>
      <c r="H368" s="100">
        <v>1.54</v>
      </c>
      <c r="I368" s="101">
        <v>1.54</v>
      </c>
      <c r="J368" s="101"/>
      <c r="K368" s="100"/>
      <c r="L368" s="101"/>
      <c r="M368" s="101">
        <v>1.54</v>
      </c>
      <c r="N368" s="101">
        <v>1.54</v>
      </c>
      <c r="P368" s="179" t="s">
        <v>716</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717</v>
      </c>
      <c r="B369" s="101">
        <v>2.1</v>
      </c>
      <c r="C369" s="100"/>
      <c r="D369" s="100"/>
      <c r="E369" s="100">
        <v>2.1</v>
      </c>
      <c r="F369" s="100">
        <v>2.1</v>
      </c>
      <c r="G369" s="100"/>
      <c r="H369" s="100">
        <v>2.1</v>
      </c>
      <c r="I369" s="101">
        <v>2.1</v>
      </c>
      <c r="J369" s="101"/>
      <c r="K369" s="100"/>
      <c r="L369" s="101"/>
      <c r="M369" s="101">
        <v>2.1</v>
      </c>
      <c r="N369" s="101">
        <v>2.1</v>
      </c>
      <c r="P369" s="179" t="s">
        <v>717</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718</v>
      </c>
      <c r="B371" s="101">
        <v>3.5</v>
      </c>
      <c r="C371" s="100"/>
      <c r="D371" s="100"/>
      <c r="E371" s="100">
        <v>3.5</v>
      </c>
      <c r="F371" s="100">
        <v>3.5</v>
      </c>
      <c r="G371" s="100"/>
      <c r="H371" s="100">
        <v>3.5</v>
      </c>
      <c r="I371" s="101">
        <v>3.5</v>
      </c>
      <c r="J371" s="101"/>
      <c r="K371" s="100"/>
      <c r="L371" s="101"/>
      <c r="M371" s="101">
        <v>3.5</v>
      </c>
      <c r="N371" s="101">
        <v>3.79</v>
      </c>
      <c r="P371" s="179" t="s">
        <v>718</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719</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719</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768</v>
      </c>
      <c r="B393" s="100" t="s">
        <v>702</v>
      </c>
      <c r="C393" s="100" t="s">
        <v>703</v>
      </c>
      <c r="D393" s="100" t="s">
        <v>704</v>
      </c>
      <c r="E393" s="100" t="s">
        <v>705</v>
      </c>
      <c r="F393" s="100" t="s">
        <v>706</v>
      </c>
      <c r="G393" s="100" t="s">
        <v>707</v>
      </c>
      <c r="H393" s="100" t="s">
        <v>708</v>
      </c>
      <c r="I393" s="100" t="s">
        <v>709</v>
      </c>
      <c r="J393" s="100" t="s">
        <v>710</v>
      </c>
      <c r="K393" s="100" t="s">
        <v>711</v>
      </c>
      <c r="L393" s="100" t="s">
        <v>712</v>
      </c>
      <c r="M393" s="100" t="s">
        <v>713</v>
      </c>
      <c r="N393" s="100" t="s">
        <v>714</v>
      </c>
      <c r="P393" s="86" t="s">
        <v>769</v>
      </c>
      <c r="Q393" s="183" t="s">
        <v>702</v>
      </c>
      <c r="R393" s="183" t="s">
        <v>703</v>
      </c>
      <c r="S393" s="183" t="s">
        <v>704</v>
      </c>
      <c r="T393" s="183" t="s">
        <v>705</v>
      </c>
      <c r="U393" s="183" t="s">
        <v>706</v>
      </c>
      <c r="V393" s="183" t="s">
        <v>707</v>
      </c>
      <c r="W393" s="183" t="s">
        <v>708</v>
      </c>
      <c r="X393" s="183" t="s">
        <v>709</v>
      </c>
      <c r="Y393" s="183" t="s">
        <v>710</v>
      </c>
      <c r="Z393" s="183" t="s">
        <v>711</v>
      </c>
      <c r="AA393" s="183" t="s">
        <v>712</v>
      </c>
      <c r="AB393" s="183" t="s">
        <v>713</v>
      </c>
      <c r="AC393" s="183" t="s">
        <v>714</v>
      </c>
    </row>
    <row r="394" spans="1:29" x14ac:dyDescent="0.3">
      <c r="A394" s="179" t="s">
        <v>716</v>
      </c>
      <c r="B394" s="101">
        <v>0.18</v>
      </c>
      <c r="C394" s="100"/>
      <c r="D394" s="100"/>
      <c r="E394" s="100">
        <v>0.18</v>
      </c>
      <c r="F394" s="100">
        <v>0.18</v>
      </c>
      <c r="G394" s="100"/>
      <c r="H394" s="100">
        <v>0.18</v>
      </c>
      <c r="I394" s="101">
        <v>0.18</v>
      </c>
      <c r="J394" s="101"/>
      <c r="K394" s="100"/>
      <c r="L394" s="101"/>
      <c r="M394" s="101">
        <v>0.18</v>
      </c>
      <c r="N394" s="101">
        <v>0.18</v>
      </c>
      <c r="P394" s="179" t="s">
        <v>716</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717</v>
      </c>
      <c r="B395" s="101">
        <v>0.18</v>
      </c>
      <c r="C395" s="100"/>
      <c r="D395" s="100"/>
      <c r="E395" s="100">
        <v>0.18</v>
      </c>
      <c r="F395" s="100">
        <v>0.18</v>
      </c>
      <c r="G395" s="100"/>
      <c r="H395" s="100">
        <v>0.18</v>
      </c>
      <c r="I395" s="101">
        <v>0.18</v>
      </c>
      <c r="J395" s="101"/>
      <c r="K395" s="100"/>
      <c r="L395" s="101"/>
      <c r="M395" s="101">
        <v>0.18</v>
      </c>
      <c r="N395" s="101">
        <v>0.18</v>
      </c>
      <c r="P395" s="179" t="s">
        <v>717</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718</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718</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719</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719</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770</v>
      </c>
      <c r="F420"/>
      <c r="G420"/>
      <c r="H420"/>
      <c r="I420"/>
      <c r="J420"/>
      <c r="K420"/>
      <c r="L420"/>
      <c r="M420"/>
      <c r="N420"/>
    </row>
    <row r="421" spans="1:29" x14ac:dyDescent="0.3">
      <c r="A421" s="86" t="s">
        <v>771</v>
      </c>
      <c r="B421" s="104" t="s">
        <v>705</v>
      </c>
      <c r="C421"/>
      <c r="D421" s="86" t="s">
        <v>772</v>
      </c>
      <c r="E421" s="183" t="s">
        <v>773</v>
      </c>
      <c r="F421"/>
      <c r="G421"/>
      <c r="H421"/>
      <c r="I421"/>
      <c r="J421"/>
      <c r="K421"/>
      <c r="L421"/>
      <c r="M421"/>
      <c r="N421"/>
    </row>
    <row r="422" spans="1:29" x14ac:dyDescent="0.3">
      <c r="A422" s="179" t="s">
        <v>716</v>
      </c>
      <c r="B422" s="104">
        <v>0.42</v>
      </c>
      <c r="C422"/>
      <c r="D422" s="179" t="s">
        <v>716</v>
      </c>
      <c r="E422" s="101">
        <v>0.2</v>
      </c>
      <c r="F422"/>
      <c r="G422"/>
      <c r="H422"/>
      <c r="I422"/>
      <c r="J422"/>
      <c r="K422"/>
      <c r="L422"/>
      <c r="M422"/>
      <c r="N422"/>
    </row>
    <row r="423" spans="1:29" x14ac:dyDescent="0.3">
      <c r="A423" s="179" t="s">
        <v>717</v>
      </c>
      <c r="B423" s="104">
        <v>0.42</v>
      </c>
      <c r="C423"/>
      <c r="D423" s="179" t="s">
        <v>717</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718</v>
      </c>
      <c r="B425" s="104">
        <v>0.49</v>
      </c>
      <c r="C425"/>
      <c r="D425" s="179" t="s">
        <v>718</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719</v>
      </c>
      <c r="B427" s="104">
        <v>0.55000000000000004</v>
      </c>
      <c r="C427"/>
      <c r="D427" s="179" t="s">
        <v>719</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774</v>
      </c>
      <c r="B447" s="104" t="s">
        <v>705</v>
      </c>
      <c r="C447"/>
      <c r="D447"/>
      <c r="E447"/>
      <c r="F447"/>
      <c r="G447"/>
      <c r="H447"/>
      <c r="I447"/>
      <c r="J447"/>
      <c r="K447"/>
      <c r="L447"/>
      <c r="M447"/>
      <c r="N447"/>
    </row>
    <row r="448" spans="1:14" x14ac:dyDescent="0.3">
      <c r="A448" s="179" t="s">
        <v>716</v>
      </c>
      <c r="B448" s="104">
        <v>0.3</v>
      </c>
      <c r="C448"/>
      <c r="D448"/>
      <c r="E448"/>
      <c r="F448"/>
      <c r="G448"/>
      <c r="H448"/>
      <c r="I448"/>
      <c r="J448"/>
      <c r="K448"/>
      <c r="L448"/>
      <c r="M448"/>
      <c r="N448"/>
    </row>
    <row r="449" spans="1:14" x14ac:dyDescent="0.3">
      <c r="A449" s="179" t="s">
        <v>717</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718</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719</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775</v>
      </c>
      <c r="B473" s="104" t="s">
        <v>705</v>
      </c>
      <c r="C473"/>
      <c r="D473" s="86" t="s">
        <v>776</v>
      </c>
      <c r="E473" s="183" t="s">
        <v>777</v>
      </c>
      <c r="F473"/>
      <c r="G473"/>
      <c r="H473"/>
      <c r="I473"/>
      <c r="J473"/>
      <c r="K473"/>
      <c r="L473"/>
      <c r="M473"/>
      <c r="N473"/>
    </row>
    <row r="474" spans="1:14" x14ac:dyDescent="0.3">
      <c r="A474" s="179" t="s">
        <v>716</v>
      </c>
      <c r="B474" s="104">
        <v>0.26</v>
      </c>
      <c r="C474"/>
      <c r="D474" s="179" t="s">
        <v>716</v>
      </c>
      <c r="E474" s="101">
        <v>0.18</v>
      </c>
      <c r="F474"/>
      <c r="G474"/>
      <c r="H474"/>
      <c r="I474"/>
      <c r="J474"/>
      <c r="K474"/>
      <c r="L474"/>
      <c r="M474"/>
      <c r="N474"/>
    </row>
    <row r="475" spans="1:14" x14ac:dyDescent="0.3">
      <c r="A475" s="179" t="s">
        <v>717</v>
      </c>
      <c r="B475" s="104">
        <v>0.26</v>
      </c>
      <c r="C475"/>
      <c r="D475" s="179" t="s">
        <v>717</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718</v>
      </c>
      <c r="B477" s="104">
        <v>0.32</v>
      </c>
      <c r="C477"/>
      <c r="D477" s="179" t="s">
        <v>718</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719</v>
      </c>
      <c r="B479" s="104">
        <v>0.4</v>
      </c>
      <c r="C479"/>
      <c r="D479" s="179" t="s">
        <v>719</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778</v>
      </c>
      <c r="B499" s="104" t="s">
        <v>705</v>
      </c>
      <c r="C499"/>
      <c r="D499"/>
      <c r="E499"/>
      <c r="F499"/>
      <c r="G499"/>
      <c r="H499"/>
      <c r="I499"/>
      <c r="J499"/>
      <c r="K499"/>
      <c r="L499"/>
      <c r="M499"/>
      <c r="N499"/>
    </row>
    <row r="500" spans="1:14" x14ac:dyDescent="0.3">
      <c r="A500" s="179" t="s">
        <v>716</v>
      </c>
      <c r="B500" s="104">
        <v>0.35</v>
      </c>
      <c r="C500"/>
      <c r="D500"/>
      <c r="E500"/>
      <c r="F500"/>
      <c r="G500"/>
      <c r="H500"/>
      <c r="I500"/>
      <c r="J500"/>
      <c r="K500"/>
      <c r="L500"/>
      <c r="M500"/>
      <c r="N500"/>
    </row>
    <row r="501" spans="1:14" x14ac:dyDescent="0.3">
      <c r="A501" s="179" t="s">
        <v>717</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718</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719</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779</v>
      </c>
      <c r="F524"/>
      <c r="G524"/>
      <c r="H524"/>
      <c r="I524"/>
      <c r="J524"/>
      <c r="K524"/>
      <c r="L524"/>
      <c r="M524"/>
      <c r="N524"/>
    </row>
    <row r="525" spans="1:14" x14ac:dyDescent="0.3">
      <c r="A525" s="86" t="s">
        <v>780</v>
      </c>
      <c r="B525" s="104" t="s">
        <v>705</v>
      </c>
      <c r="C525"/>
      <c r="D525" s="86"/>
      <c r="E525" s="183" t="s">
        <v>777</v>
      </c>
      <c r="F525"/>
      <c r="G525"/>
      <c r="H525"/>
      <c r="I525"/>
      <c r="J525"/>
      <c r="K525"/>
      <c r="L525"/>
      <c r="M525"/>
      <c r="N525"/>
    </row>
    <row r="526" spans="1:14" x14ac:dyDescent="0.3">
      <c r="A526" s="179" t="s">
        <v>716</v>
      </c>
      <c r="B526" s="104">
        <v>0.13</v>
      </c>
      <c r="C526"/>
      <c r="D526" s="179" t="s">
        <v>716</v>
      </c>
      <c r="E526" s="101">
        <v>0.11</v>
      </c>
      <c r="F526"/>
      <c r="G526"/>
      <c r="H526"/>
      <c r="I526"/>
      <c r="J526"/>
      <c r="K526"/>
      <c r="L526"/>
      <c r="M526"/>
      <c r="N526"/>
    </row>
    <row r="527" spans="1:14" x14ac:dyDescent="0.3">
      <c r="A527" s="179" t="s">
        <v>717</v>
      </c>
      <c r="B527" s="104">
        <v>0.13</v>
      </c>
      <c r="C527"/>
      <c r="D527" s="179" t="s">
        <v>717</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718</v>
      </c>
      <c r="B529" s="104">
        <v>0.17</v>
      </c>
      <c r="C529"/>
      <c r="D529" s="179" t="s">
        <v>718</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719</v>
      </c>
      <c r="B531" s="104">
        <v>0.18</v>
      </c>
      <c r="C531"/>
      <c r="D531" s="179" t="s">
        <v>719</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781</v>
      </c>
      <c r="F550"/>
      <c r="G550"/>
      <c r="H550"/>
      <c r="I550"/>
      <c r="J550"/>
      <c r="K550"/>
      <c r="L550"/>
      <c r="M550"/>
      <c r="N550"/>
    </row>
    <row r="551" spans="1:14" x14ac:dyDescent="0.3">
      <c r="A551" s="86" t="s">
        <v>782</v>
      </c>
      <c r="B551" s="104" t="s">
        <v>705</v>
      </c>
      <c r="C551"/>
      <c r="D551" s="86"/>
      <c r="E551" s="183" t="s">
        <v>777</v>
      </c>
      <c r="F551"/>
      <c r="G551"/>
      <c r="H551"/>
      <c r="I551"/>
      <c r="J551"/>
      <c r="K551"/>
      <c r="L551"/>
      <c r="M551"/>
      <c r="N551"/>
    </row>
    <row r="552" spans="1:14" x14ac:dyDescent="0.3">
      <c r="A552" s="179" t="s">
        <v>716</v>
      </c>
      <c r="B552" s="104">
        <v>0.13</v>
      </c>
      <c r="C552"/>
      <c r="D552" s="179" t="s">
        <v>716</v>
      </c>
      <c r="E552" s="101">
        <v>0.11</v>
      </c>
      <c r="F552"/>
      <c r="G552"/>
      <c r="H552"/>
      <c r="I552"/>
      <c r="J552"/>
      <c r="K552"/>
      <c r="L552"/>
      <c r="M552"/>
      <c r="N552"/>
    </row>
    <row r="553" spans="1:14" x14ac:dyDescent="0.3">
      <c r="A553" s="179" t="s">
        <v>717</v>
      </c>
      <c r="B553" s="104">
        <v>0.13</v>
      </c>
      <c r="C553"/>
      <c r="D553" s="179" t="s">
        <v>717</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718</v>
      </c>
      <c r="B555" s="104">
        <v>0.17</v>
      </c>
      <c r="C555"/>
      <c r="D555" s="179" t="s">
        <v>718</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719</v>
      </c>
      <c r="B557" s="104">
        <v>0.18</v>
      </c>
      <c r="C557"/>
      <c r="D557" s="179" t="s">
        <v>719</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783</v>
      </c>
      <c r="F576"/>
      <c r="G576"/>
      <c r="H576"/>
      <c r="I576"/>
      <c r="J576"/>
      <c r="K576"/>
      <c r="L576"/>
      <c r="M576"/>
      <c r="N576"/>
    </row>
    <row r="577" spans="1:14" x14ac:dyDescent="0.3">
      <c r="A577" s="86" t="s">
        <v>784</v>
      </c>
      <c r="B577" s="104" t="s">
        <v>705</v>
      </c>
      <c r="C577"/>
      <c r="D577" s="86"/>
      <c r="E577" s="101" t="s">
        <v>777</v>
      </c>
      <c r="F577"/>
      <c r="G577"/>
      <c r="H577"/>
      <c r="I577"/>
      <c r="J577"/>
      <c r="K577"/>
      <c r="L577"/>
      <c r="M577"/>
      <c r="N577"/>
    </row>
    <row r="578" spans="1:14" x14ac:dyDescent="0.3">
      <c r="A578" s="179" t="s">
        <v>716</v>
      </c>
      <c r="B578" s="104">
        <v>0.17</v>
      </c>
      <c r="C578"/>
      <c r="D578" s="179" t="s">
        <v>716</v>
      </c>
      <c r="E578" s="101">
        <v>0.14000000000000001</v>
      </c>
      <c r="F578"/>
      <c r="G578"/>
      <c r="H578"/>
      <c r="I578"/>
      <c r="J578"/>
      <c r="K578"/>
      <c r="L578"/>
      <c r="M578"/>
      <c r="N578"/>
    </row>
    <row r="579" spans="1:14" x14ac:dyDescent="0.3">
      <c r="A579" s="179" t="s">
        <v>717</v>
      </c>
      <c r="B579" s="104">
        <v>0.17</v>
      </c>
      <c r="C579"/>
      <c r="D579" s="179" t="s">
        <v>717</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718</v>
      </c>
      <c r="B581" s="104">
        <v>0.17</v>
      </c>
      <c r="C581"/>
      <c r="D581" s="179" t="s">
        <v>718</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719</v>
      </c>
      <c r="B583" s="104">
        <v>0.19</v>
      </c>
      <c r="C583"/>
      <c r="D583" s="179" t="s">
        <v>719</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785</v>
      </c>
      <c r="F602"/>
      <c r="G602"/>
      <c r="H602"/>
      <c r="I602"/>
      <c r="J602"/>
      <c r="K602"/>
      <c r="L602"/>
      <c r="M602"/>
      <c r="N602"/>
    </row>
    <row r="603" spans="1:14" x14ac:dyDescent="0.3">
      <c r="A603" s="86" t="s">
        <v>786</v>
      </c>
      <c r="B603" s="104" t="s">
        <v>705</v>
      </c>
      <c r="C603"/>
      <c r="D603" s="86"/>
      <c r="E603" s="101" t="s">
        <v>777</v>
      </c>
      <c r="F603"/>
      <c r="G603"/>
      <c r="H603"/>
      <c r="I603"/>
      <c r="J603"/>
      <c r="K603"/>
      <c r="L603"/>
      <c r="M603"/>
      <c r="N603"/>
    </row>
    <row r="604" spans="1:14" x14ac:dyDescent="0.3">
      <c r="A604" s="179" t="s">
        <v>716</v>
      </c>
      <c r="B604" s="104">
        <v>0.17</v>
      </c>
      <c r="C604"/>
      <c r="D604" s="179" t="s">
        <v>716</v>
      </c>
      <c r="E604" s="101">
        <v>0.14000000000000001</v>
      </c>
      <c r="F604"/>
      <c r="G604"/>
      <c r="H604"/>
      <c r="I604"/>
      <c r="J604"/>
      <c r="K604"/>
      <c r="L604"/>
      <c r="M604"/>
      <c r="N604"/>
    </row>
    <row r="605" spans="1:14" x14ac:dyDescent="0.3">
      <c r="A605" s="179" t="s">
        <v>717</v>
      </c>
      <c r="B605" s="104">
        <v>0.19</v>
      </c>
      <c r="C605"/>
      <c r="D605" s="179" t="s">
        <v>717</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718</v>
      </c>
      <c r="B607" s="104">
        <v>0.26</v>
      </c>
      <c r="C607"/>
      <c r="D607" s="179" t="s">
        <v>718</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719</v>
      </c>
      <c r="B609" s="104">
        <v>0.46</v>
      </c>
      <c r="C609"/>
      <c r="D609" s="179" t="s">
        <v>719</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787</v>
      </c>
      <c r="F628"/>
      <c r="G628"/>
      <c r="H628"/>
      <c r="I628"/>
      <c r="J628"/>
      <c r="K628"/>
      <c r="L628"/>
      <c r="M628"/>
      <c r="N628"/>
    </row>
    <row r="629" spans="1:14" x14ac:dyDescent="0.3">
      <c r="A629" s="86" t="s">
        <v>788</v>
      </c>
      <c r="B629" s="104" t="s">
        <v>705</v>
      </c>
      <c r="C629"/>
      <c r="D629" s="86"/>
      <c r="E629" s="101" t="s">
        <v>777</v>
      </c>
      <c r="F629"/>
      <c r="G629"/>
      <c r="H629"/>
      <c r="I629"/>
      <c r="J629"/>
      <c r="K629"/>
      <c r="L629"/>
      <c r="M629"/>
      <c r="N629"/>
    </row>
    <row r="630" spans="1:14" x14ac:dyDescent="0.3">
      <c r="A630" s="179" t="s">
        <v>716</v>
      </c>
      <c r="B630" s="104">
        <v>0.17</v>
      </c>
      <c r="C630"/>
      <c r="D630" s="179" t="s">
        <v>716</v>
      </c>
      <c r="E630" s="101">
        <v>0.14000000000000001</v>
      </c>
      <c r="F630"/>
      <c r="G630"/>
      <c r="H630"/>
      <c r="I630"/>
      <c r="J630"/>
      <c r="K630"/>
      <c r="L630"/>
      <c r="M630"/>
      <c r="N630"/>
    </row>
    <row r="631" spans="1:14" x14ac:dyDescent="0.3">
      <c r="A631" s="179" t="s">
        <v>717</v>
      </c>
      <c r="B631" s="104">
        <v>0.19</v>
      </c>
      <c r="C631"/>
      <c r="D631" s="179" t="s">
        <v>717</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718</v>
      </c>
      <c r="B633" s="104">
        <v>0.26</v>
      </c>
      <c r="C633"/>
      <c r="D633" s="179" t="s">
        <v>718</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719</v>
      </c>
      <c r="B635" s="104">
        <v>0.48</v>
      </c>
      <c r="C635"/>
      <c r="D635" s="179" t="s">
        <v>719</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789</v>
      </c>
      <c r="F654"/>
      <c r="G654"/>
      <c r="H654"/>
      <c r="I654"/>
      <c r="J654"/>
      <c r="K654"/>
      <c r="L654"/>
      <c r="M654"/>
      <c r="N654"/>
    </row>
    <row r="655" spans="1:14" x14ac:dyDescent="0.3">
      <c r="A655" s="86" t="s">
        <v>790</v>
      </c>
      <c r="B655" s="104" t="s">
        <v>705</v>
      </c>
      <c r="C655"/>
      <c r="D655" s="86"/>
      <c r="E655" s="101" t="s">
        <v>777</v>
      </c>
      <c r="F655"/>
      <c r="G655"/>
      <c r="H655"/>
      <c r="I655"/>
      <c r="J655"/>
      <c r="K655"/>
      <c r="L655"/>
      <c r="M655"/>
      <c r="N655"/>
    </row>
    <row r="656" spans="1:14" x14ac:dyDescent="0.3">
      <c r="A656" s="179" t="s">
        <v>716</v>
      </c>
      <c r="B656" s="104">
        <v>0.17</v>
      </c>
      <c r="C656"/>
      <c r="D656" s="179" t="s">
        <v>716</v>
      </c>
      <c r="E656" s="101">
        <v>0.14000000000000001</v>
      </c>
      <c r="F656"/>
      <c r="G656"/>
      <c r="H656"/>
      <c r="I656"/>
      <c r="J656"/>
      <c r="K656"/>
      <c r="L656"/>
      <c r="M656"/>
      <c r="N656"/>
    </row>
    <row r="657" spans="1:14" x14ac:dyDescent="0.3">
      <c r="A657" s="179" t="s">
        <v>717</v>
      </c>
      <c r="B657" s="104">
        <v>0.19</v>
      </c>
      <c r="C657"/>
      <c r="D657" s="179" t="s">
        <v>717</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718</v>
      </c>
      <c r="B659" s="104">
        <v>0.26</v>
      </c>
      <c r="C659"/>
      <c r="D659" s="179" t="s">
        <v>718</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719</v>
      </c>
      <c r="B661" s="104">
        <v>0.56999999999999995</v>
      </c>
      <c r="C661"/>
      <c r="D661" s="179" t="s">
        <v>719</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791</v>
      </c>
      <c r="B681" s="104" t="s">
        <v>705</v>
      </c>
      <c r="C681"/>
      <c r="D681" s="86"/>
      <c r="E681" s="101" t="s">
        <v>792</v>
      </c>
      <c r="F681" s="107"/>
      <c r="G681"/>
      <c r="H681"/>
      <c r="I681"/>
      <c r="J681"/>
      <c r="K681"/>
      <c r="L681"/>
      <c r="M681"/>
      <c r="N681"/>
    </row>
    <row r="682" spans="1:14" x14ac:dyDescent="0.3">
      <c r="A682" s="179" t="s">
        <v>716</v>
      </c>
      <c r="B682" s="104">
        <v>0.17</v>
      </c>
      <c r="C682"/>
      <c r="D682" s="179" t="s">
        <v>716</v>
      </c>
      <c r="E682" s="101" t="s">
        <v>777</v>
      </c>
      <c r="F682" s="107"/>
      <c r="G682"/>
      <c r="H682"/>
      <c r="I682"/>
      <c r="J682"/>
      <c r="K682"/>
      <c r="L682"/>
      <c r="M682"/>
      <c r="N682"/>
    </row>
    <row r="683" spans="1:14" x14ac:dyDescent="0.3">
      <c r="A683" s="179" t="s">
        <v>717</v>
      </c>
      <c r="B683" s="104">
        <v>0.19</v>
      </c>
      <c r="C683"/>
      <c r="D683" s="179" t="s">
        <v>717</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718</v>
      </c>
      <c r="B685" s="104">
        <v>0.26</v>
      </c>
      <c r="C685"/>
      <c r="D685" s="179" t="s">
        <v>718</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719</v>
      </c>
      <c r="B687" s="104">
        <v>0.57999999999999996</v>
      </c>
      <c r="C687"/>
      <c r="D687" s="179" t="s">
        <v>719</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793</v>
      </c>
      <c r="B707" s="104" t="s">
        <v>705</v>
      </c>
      <c r="C707"/>
      <c r="D707"/>
      <c r="E707"/>
      <c r="F707"/>
      <c r="G707"/>
      <c r="H707" s="107"/>
      <c r="I707"/>
      <c r="K707"/>
      <c r="L707"/>
      <c r="M707"/>
      <c r="N707"/>
    </row>
    <row r="708" spans="1:14" x14ac:dyDescent="0.3">
      <c r="A708" s="179" t="s">
        <v>716</v>
      </c>
      <c r="B708" s="104">
        <v>0.17</v>
      </c>
      <c r="C708"/>
      <c r="D708"/>
      <c r="F708"/>
      <c r="G708"/>
      <c r="H708" s="107"/>
      <c r="I708"/>
      <c r="K708"/>
      <c r="L708"/>
      <c r="M708"/>
      <c r="N708"/>
    </row>
    <row r="709" spans="1:14" x14ac:dyDescent="0.3">
      <c r="A709" s="179" t="s">
        <v>717</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718</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719</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794</v>
      </c>
      <c r="B733" s="104" t="s">
        <v>129</v>
      </c>
      <c r="C733"/>
      <c r="D733" s="86" t="s">
        <v>795</v>
      </c>
      <c r="E733" s="104" t="s">
        <v>129</v>
      </c>
      <c r="F733"/>
      <c r="G733"/>
      <c r="H733"/>
      <c r="I733"/>
      <c r="J733"/>
      <c r="K733"/>
      <c r="L733"/>
      <c r="M733"/>
      <c r="N733"/>
    </row>
    <row r="734" spans="1:14" x14ac:dyDescent="0.3">
      <c r="A734" s="179" t="s">
        <v>716</v>
      </c>
      <c r="B734" s="104">
        <v>0.03</v>
      </c>
      <c r="C734"/>
      <c r="D734" s="179" t="s">
        <v>716</v>
      </c>
      <c r="E734" s="104">
        <v>0.03</v>
      </c>
      <c r="F734"/>
      <c r="G734"/>
      <c r="H734"/>
      <c r="I734"/>
      <c r="J734"/>
      <c r="K734"/>
      <c r="L734"/>
      <c r="M734"/>
      <c r="N734"/>
    </row>
    <row r="735" spans="1:14" x14ac:dyDescent="0.3">
      <c r="A735" s="179" t="s">
        <v>717</v>
      </c>
      <c r="B735" s="104">
        <v>0.03</v>
      </c>
      <c r="C735"/>
      <c r="D735" s="179" t="s">
        <v>717</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718</v>
      </c>
      <c r="B737" s="104">
        <v>0.03</v>
      </c>
      <c r="C737"/>
      <c r="D737" s="179" t="s">
        <v>718</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719</v>
      </c>
      <c r="B739" s="104">
        <v>0.03</v>
      </c>
      <c r="C739"/>
      <c r="D739" s="179" t="s">
        <v>719</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03" t="s">
        <v>796</v>
      </c>
      <c r="B759" s="303"/>
      <c r="C759" s="303"/>
      <c r="D759" s="303"/>
      <c r="E759" s="303"/>
      <c r="F759" s="303"/>
      <c r="G759" s="303"/>
      <c r="H759" s="303"/>
      <c r="I759" s="303"/>
      <c r="J759" s="303"/>
      <c r="K759" s="303"/>
      <c r="L759" s="303"/>
      <c r="M759" s="303"/>
      <c r="N759" s="303"/>
      <c r="O759" s="303"/>
      <c r="P759" s="303"/>
      <c r="Q759" s="303"/>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296" t="s">
        <v>797</v>
      </c>
      <c r="B761" s="113" t="s">
        <v>798</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297"/>
      <c r="B762" s="117" t="s">
        <v>799</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297"/>
      <c r="B763" s="117" t="s">
        <v>800</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297"/>
      <c r="B764" s="117" t="s">
        <v>801</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297"/>
      <c r="B765" s="117" t="s">
        <v>802</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297"/>
      <c r="B766" s="117" t="s">
        <v>803</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297"/>
      <c r="B767" s="117" t="s">
        <v>804</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298"/>
      <c r="B768" s="117" t="s">
        <v>805</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293" t="s">
        <v>806</v>
      </c>
      <c r="B769" s="121" t="s">
        <v>798</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294"/>
      <c r="B770" s="125" t="s">
        <v>799</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294"/>
      <c r="B771" s="125" t="s">
        <v>800</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294"/>
      <c r="B772" s="125" t="s">
        <v>801</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294"/>
      <c r="B773" s="125" t="s">
        <v>802</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294"/>
      <c r="B774" s="125" t="s">
        <v>803</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294"/>
      <c r="B775" s="125" t="s">
        <v>804</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295"/>
      <c r="B776" s="125" t="s">
        <v>805</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85" t="s">
        <v>807</v>
      </c>
      <c r="B777" s="285"/>
      <c r="C777" s="285"/>
      <c r="D777" s="285"/>
      <c r="E777" s="285"/>
      <c r="F777" s="285"/>
      <c r="G777" s="285"/>
      <c r="H777" s="285"/>
      <c r="I777" s="285"/>
      <c r="J777" s="285"/>
      <c r="K777" s="285"/>
      <c r="L777" s="285"/>
      <c r="M777" s="285"/>
      <c r="N777" s="285"/>
      <c r="O777" s="285"/>
      <c r="P777" s="285"/>
      <c r="Q777" s="285"/>
    </row>
    <row r="778" spans="1:17" x14ac:dyDescent="0.3">
      <c r="A778" s="296" t="s">
        <v>797</v>
      </c>
      <c r="B778" s="113" t="s">
        <v>798</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297"/>
      <c r="B779" s="117" t="s">
        <v>799</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297"/>
      <c r="B780" s="117" t="s">
        <v>800</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297"/>
      <c r="B781" s="117" t="s">
        <v>801</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297"/>
      <c r="B782" s="117" t="s">
        <v>802</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297"/>
      <c r="B783" s="117" t="s">
        <v>803</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297"/>
      <c r="B784" s="117" t="s">
        <v>804</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298"/>
      <c r="B785" s="117" t="s">
        <v>805</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293" t="s">
        <v>806</v>
      </c>
      <c r="B786" s="121" t="s">
        <v>798</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294"/>
      <c r="B787" s="125" t="s">
        <v>799</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294"/>
      <c r="B788" s="125" t="s">
        <v>800</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294"/>
      <c r="B789" s="125" t="s">
        <v>801</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294"/>
      <c r="B790" s="125" t="s">
        <v>802</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294"/>
      <c r="B791" s="125" t="s">
        <v>803</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294"/>
      <c r="B792" s="125" t="s">
        <v>804</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295"/>
      <c r="B793" s="125" t="s">
        <v>805</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85" t="s">
        <v>808</v>
      </c>
      <c r="B794" s="285"/>
      <c r="C794" s="285"/>
      <c r="D794" s="285"/>
      <c r="E794" s="285"/>
      <c r="F794" s="285"/>
      <c r="G794" s="285"/>
      <c r="H794" s="285"/>
      <c r="I794" s="285"/>
      <c r="J794" s="285"/>
      <c r="K794" s="285"/>
      <c r="L794" s="285"/>
      <c r="M794" s="285"/>
      <c r="N794" s="285"/>
      <c r="O794" s="285"/>
      <c r="P794" s="285"/>
      <c r="Q794" s="285"/>
    </row>
    <row r="795" spans="1:19" x14ac:dyDescent="0.3">
      <c r="A795" s="296" t="s">
        <v>797</v>
      </c>
      <c r="B795" s="113" t="s">
        <v>798</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297"/>
      <c r="B796" s="117" t="s">
        <v>799</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297"/>
      <c r="B797" s="117" t="s">
        <v>800</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297"/>
      <c r="B798" s="117" t="s">
        <v>801</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297"/>
      <c r="B799" s="117" t="s">
        <v>802</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297"/>
      <c r="B800" s="117" t="s">
        <v>803</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297"/>
      <c r="B801" s="117" t="s">
        <v>804</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298"/>
      <c r="B802" s="117" t="s">
        <v>805</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293" t="s">
        <v>806</v>
      </c>
      <c r="B803" s="121" t="s">
        <v>798</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294"/>
      <c r="B804" s="125" t="s">
        <v>799</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294"/>
      <c r="B805" s="125" t="s">
        <v>800</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294"/>
      <c r="B806" s="125" t="s">
        <v>801</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294"/>
      <c r="B807" s="125" t="s">
        <v>802</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294"/>
      <c r="B808" s="125" t="s">
        <v>803</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294"/>
      <c r="B809" s="125" t="s">
        <v>804</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295"/>
      <c r="B810" s="125" t="s">
        <v>805</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85" t="s">
        <v>809</v>
      </c>
      <c r="B811" s="285"/>
      <c r="C811" s="285"/>
      <c r="D811" s="285"/>
      <c r="E811" s="285"/>
      <c r="F811" s="285"/>
      <c r="G811" s="285"/>
      <c r="H811" s="285"/>
      <c r="I811" s="285"/>
      <c r="J811" s="285"/>
      <c r="K811" s="285"/>
      <c r="L811" s="285"/>
      <c r="M811" s="285"/>
      <c r="N811" s="285"/>
      <c r="O811" s="285"/>
      <c r="P811" s="285"/>
      <c r="Q811" s="285"/>
    </row>
    <row r="812" spans="1:19" x14ac:dyDescent="0.3">
      <c r="A812" s="296" t="s">
        <v>797</v>
      </c>
      <c r="B812" s="113" t="s">
        <v>798</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297"/>
      <c r="B813" s="117" t="s">
        <v>799</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297"/>
      <c r="B814" s="117" t="s">
        <v>800</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297"/>
      <c r="B815" s="117" t="s">
        <v>801</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297"/>
      <c r="B816" s="117" t="s">
        <v>802</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297"/>
      <c r="B817" s="117" t="s">
        <v>803</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297"/>
      <c r="B818" s="117" t="s">
        <v>804</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298"/>
      <c r="B819" s="117" t="s">
        <v>805</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293" t="s">
        <v>806</v>
      </c>
      <c r="B820" s="121" t="s">
        <v>798</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294"/>
      <c r="B821" s="125" t="s">
        <v>799</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294"/>
      <c r="B822" s="125" t="s">
        <v>800</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294"/>
      <c r="B823" s="125" t="s">
        <v>801</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294"/>
      <c r="B824" s="125" t="s">
        <v>802</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294"/>
      <c r="B825" s="125" t="s">
        <v>803</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294"/>
      <c r="B826" s="125" t="s">
        <v>804</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295"/>
      <c r="B827" s="125" t="s">
        <v>805</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00" t="s">
        <v>810</v>
      </c>
      <c r="B828" s="301"/>
      <c r="C828" s="301"/>
      <c r="D828" s="301"/>
      <c r="E828" s="301"/>
      <c r="F828" s="301"/>
      <c r="G828" s="301"/>
      <c r="H828" s="301"/>
      <c r="I828" s="301"/>
      <c r="J828" s="301"/>
      <c r="K828" s="301"/>
      <c r="L828" s="301"/>
      <c r="M828" s="301"/>
      <c r="N828" s="301"/>
      <c r="O828" s="301"/>
      <c r="P828" s="301"/>
      <c r="Q828" s="302"/>
    </row>
    <row r="829" spans="1:17" x14ac:dyDescent="0.3">
      <c r="A829" s="296" t="s">
        <v>797</v>
      </c>
      <c r="B829" s="113" t="s">
        <v>798</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297"/>
      <c r="B830" s="117" t="s">
        <v>799</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297"/>
      <c r="B831" s="117" t="s">
        <v>800</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297"/>
      <c r="B832" s="117" t="s">
        <v>801</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297"/>
      <c r="B833" s="117" t="s">
        <v>802</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297"/>
      <c r="B834" s="117" t="s">
        <v>803</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297"/>
      <c r="B835" s="117" t="s">
        <v>804</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298"/>
      <c r="B836" s="117" t="s">
        <v>805</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293" t="s">
        <v>806</v>
      </c>
      <c r="B837" s="121" t="s">
        <v>798</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294"/>
      <c r="B838" s="125" t="s">
        <v>799</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294"/>
      <c r="B839" s="125" t="s">
        <v>800</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294"/>
      <c r="B840" s="125" t="s">
        <v>801</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294"/>
      <c r="B841" s="125" t="s">
        <v>802</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294"/>
      <c r="B842" s="125" t="s">
        <v>803</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294"/>
      <c r="B843" s="125" t="s">
        <v>804</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295"/>
      <c r="B844" s="125" t="s">
        <v>805</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00" t="s">
        <v>811</v>
      </c>
      <c r="B845" s="301"/>
      <c r="C845" s="301"/>
      <c r="D845" s="301"/>
      <c r="E845" s="301"/>
      <c r="F845" s="301"/>
      <c r="G845" s="301"/>
      <c r="H845" s="301"/>
      <c r="I845" s="301"/>
      <c r="J845" s="301"/>
      <c r="K845" s="301"/>
      <c r="L845" s="301"/>
      <c r="M845" s="301"/>
      <c r="N845" s="301"/>
      <c r="O845" s="301"/>
      <c r="P845" s="301"/>
      <c r="Q845" s="302"/>
    </row>
    <row r="846" spans="1:19" x14ac:dyDescent="0.3">
      <c r="A846" s="296" t="s">
        <v>797</v>
      </c>
      <c r="B846" s="113" t="s">
        <v>798</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297"/>
      <c r="B847" s="117" t="s">
        <v>799</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297"/>
      <c r="B848" s="117" t="s">
        <v>800</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297"/>
      <c r="B849" s="117" t="s">
        <v>801</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297"/>
      <c r="B850" s="117" t="s">
        <v>802</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297"/>
      <c r="B851" s="117" t="s">
        <v>803</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297"/>
      <c r="B852" s="117" t="s">
        <v>804</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298"/>
      <c r="B853" s="117" t="s">
        <v>805</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293" t="s">
        <v>806</v>
      </c>
      <c r="B854" s="121" t="s">
        <v>798</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294"/>
      <c r="B855" s="125" t="s">
        <v>799</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294"/>
      <c r="B856" s="125" t="s">
        <v>800</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294"/>
      <c r="B857" s="125" t="s">
        <v>801</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294"/>
      <c r="B858" s="125" t="s">
        <v>802</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294"/>
      <c r="B859" s="125" t="s">
        <v>803</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294"/>
      <c r="B860" s="125" t="s">
        <v>804</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295"/>
      <c r="B861" s="125" t="s">
        <v>805</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00" t="s">
        <v>812</v>
      </c>
      <c r="B862" s="301"/>
      <c r="C862" s="301"/>
      <c r="D862" s="301"/>
      <c r="E862" s="301"/>
      <c r="F862" s="301"/>
      <c r="G862" s="301"/>
      <c r="H862" s="301"/>
      <c r="I862" s="301"/>
      <c r="J862" s="301"/>
      <c r="K862" s="301"/>
      <c r="L862" s="301"/>
      <c r="M862" s="301"/>
      <c r="N862" s="301"/>
      <c r="O862" s="301"/>
      <c r="P862" s="301"/>
      <c r="Q862" s="302"/>
    </row>
    <row r="863" spans="1:19" x14ac:dyDescent="0.3">
      <c r="A863" s="296" t="s">
        <v>797</v>
      </c>
      <c r="B863" s="113" t="s">
        <v>798</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297"/>
      <c r="B864" s="117" t="s">
        <v>799</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297"/>
      <c r="B865" s="117" t="s">
        <v>800</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297"/>
      <c r="B866" s="117" t="s">
        <v>801</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297"/>
      <c r="B867" s="117" t="s">
        <v>802</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297"/>
      <c r="B868" s="117" t="s">
        <v>803</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297"/>
      <c r="B869" s="117" t="s">
        <v>804</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298"/>
      <c r="B870" s="117" t="s">
        <v>805</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293" t="s">
        <v>806</v>
      </c>
      <c r="B871" s="121" t="s">
        <v>798</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294"/>
      <c r="B872" s="125" t="s">
        <v>799</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294"/>
      <c r="B873" s="125" t="s">
        <v>800</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294"/>
      <c r="B874" s="125" t="s">
        <v>801</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294"/>
      <c r="B875" s="125" t="s">
        <v>802</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294"/>
      <c r="B876" s="125" t="s">
        <v>803</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294"/>
      <c r="B877" s="125" t="s">
        <v>804</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295"/>
      <c r="B878" s="125" t="s">
        <v>805</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99" t="s">
        <v>813</v>
      </c>
      <c r="E882" s="299"/>
      <c r="F882" s="299"/>
      <c r="G882" s="299"/>
      <c r="H882" s="299"/>
      <c r="I882"/>
      <c r="J882"/>
      <c r="K882"/>
      <c r="L882"/>
      <c r="M882"/>
      <c r="N882"/>
      <c r="R882" s="306" t="s">
        <v>814</v>
      </c>
      <c r="S882" s="306"/>
      <c r="T882" s="306"/>
    </row>
    <row r="883" spans="1:25" ht="27.6" x14ac:dyDescent="0.3">
      <c r="A883" s="138"/>
      <c r="B883" s="139"/>
      <c r="C883" s="140"/>
      <c r="D883" s="141" t="s">
        <v>815</v>
      </c>
      <c r="E883" s="141" t="s">
        <v>816</v>
      </c>
      <c r="F883" s="141" t="s">
        <v>817</v>
      </c>
      <c r="G883" s="141" t="s">
        <v>818</v>
      </c>
      <c r="H883" s="141" t="s">
        <v>819</v>
      </c>
      <c r="I883" s="141" t="s">
        <v>820</v>
      </c>
      <c r="J883" s="141" t="s">
        <v>821</v>
      </c>
      <c r="K883" s="141" t="s">
        <v>822</v>
      </c>
      <c r="L883" s="141" t="s">
        <v>823</v>
      </c>
      <c r="M883" s="141" t="s">
        <v>824</v>
      </c>
      <c r="N883" s="141" t="s">
        <v>825</v>
      </c>
      <c r="Q883" s="142"/>
      <c r="R883" s="143" t="s">
        <v>826</v>
      </c>
      <c r="S883" s="143" t="s">
        <v>827</v>
      </c>
      <c r="T883" s="143" t="s">
        <v>828</v>
      </c>
      <c r="V883" s="305" t="s">
        <v>829</v>
      </c>
      <c r="W883" s="305"/>
      <c r="X883" s="299" t="s">
        <v>830</v>
      </c>
      <c r="Y883" s="299"/>
    </row>
    <row r="884" spans="1:25" x14ac:dyDescent="0.3">
      <c r="A884" s="181"/>
      <c r="B884" s="144" t="s">
        <v>773</v>
      </c>
      <c r="C884" s="179" t="s">
        <v>716</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716</v>
      </c>
      <c r="R884" s="145">
        <v>0.16885066486334527</v>
      </c>
      <c r="S884" s="145">
        <v>0.34297791300367003</v>
      </c>
      <c r="T884" s="145">
        <v>0.51710516114399485</v>
      </c>
      <c r="V884" s="179" t="s">
        <v>716</v>
      </c>
      <c r="W884" s="187">
        <v>15</v>
      </c>
      <c r="X884" s="187">
        <v>21.34</v>
      </c>
      <c r="Y884">
        <f>X884/1000</f>
        <v>2.1340000000000001E-2</v>
      </c>
    </row>
    <row r="885" spans="1:25" x14ac:dyDescent="0.3">
      <c r="A885" s="181"/>
      <c r="B885" s="144" t="s">
        <v>773</v>
      </c>
      <c r="C885" s="179" t="s">
        <v>717</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717</v>
      </c>
      <c r="R885" s="145">
        <v>0.16885066486334527</v>
      </c>
      <c r="S885" s="145">
        <v>0.34297791300367003</v>
      </c>
      <c r="T885" s="145">
        <v>0.51710516114399485</v>
      </c>
      <c r="V885" s="179" t="s">
        <v>717</v>
      </c>
      <c r="W885" s="187">
        <v>20</v>
      </c>
      <c r="X885" s="187">
        <v>26.67</v>
      </c>
      <c r="Y885">
        <f t="shared" ref="Y885:Y907" si="0">X885/1000</f>
        <v>2.6670000000000003E-2</v>
      </c>
    </row>
    <row r="886" spans="1:25" x14ac:dyDescent="0.3">
      <c r="A886" s="181"/>
      <c r="B886" s="144" t="s">
        <v>773</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773</v>
      </c>
      <c r="C887" s="179" t="s">
        <v>718</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718</v>
      </c>
      <c r="R887" s="145">
        <v>0.16885066486334527</v>
      </c>
      <c r="S887" s="145">
        <v>0.34297791300367003</v>
      </c>
      <c r="T887" s="145">
        <v>0.51710516114399485</v>
      </c>
      <c r="V887" s="179" t="s">
        <v>718</v>
      </c>
      <c r="W887" s="187">
        <v>40</v>
      </c>
      <c r="X887" s="187">
        <v>48.26</v>
      </c>
      <c r="Y887">
        <f t="shared" si="0"/>
        <v>4.8259999999999997E-2</v>
      </c>
    </row>
    <row r="888" spans="1:25" ht="15" thickBot="1" x14ac:dyDescent="0.35">
      <c r="A888" s="181"/>
      <c r="B888" s="144" t="s">
        <v>773</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86" t="s">
        <v>831</v>
      </c>
      <c r="B889" s="144" t="s">
        <v>773</v>
      </c>
      <c r="C889" s="179" t="s">
        <v>719</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719</v>
      </c>
      <c r="R889" s="148">
        <v>0.16885066486334527</v>
      </c>
      <c r="S889" s="148">
        <v>0.34297791300367003</v>
      </c>
      <c r="T889" s="148">
        <v>0.51710516114399485</v>
      </c>
      <c r="V889" s="179" t="s">
        <v>719</v>
      </c>
      <c r="W889" s="187">
        <v>65</v>
      </c>
      <c r="X889" s="187">
        <v>73.02</v>
      </c>
      <c r="Y889">
        <f t="shared" si="0"/>
        <v>7.3020000000000002E-2</v>
      </c>
    </row>
    <row r="890" spans="1:25" x14ac:dyDescent="0.3">
      <c r="A890" s="287"/>
      <c r="B890" s="144" t="s">
        <v>773</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87"/>
      <c r="B891" s="144" t="s">
        <v>773</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87"/>
      <c r="B892" s="144" t="s">
        <v>773</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87"/>
      <c r="B893" s="144" t="s">
        <v>773</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87"/>
      <c r="B894" s="144" t="s">
        <v>773</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87"/>
      <c r="B895" s="144" t="s">
        <v>773</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87"/>
      <c r="B896" s="144" t="s">
        <v>773</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87"/>
      <c r="B897" s="144" t="s">
        <v>773</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87"/>
      <c r="B898" s="144" t="s">
        <v>773</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87"/>
      <c r="B899" s="144" t="s">
        <v>773</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87"/>
      <c r="B900" s="144" t="s">
        <v>773</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87"/>
      <c r="B901" s="144" t="s">
        <v>773</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87"/>
      <c r="B902" s="144" t="s">
        <v>773</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87"/>
      <c r="B903" s="144" t="s">
        <v>773</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87"/>
      <c r="B904" s="144" t="s">
        <v>773</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87"/>
      <c r="B905" s="144" t="s">
        <v>773</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87"/>
      <c r="B906" s="144" t="s">
        <v>773</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87"/>
      <c r="B907" s="144" t="s">
        <v>773</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87"/>
      <c r="B908" s="144" t="s">
        <v>773</v>
      </c>
      <c r="C908" s="150" t="s">
        <v>832</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832</v>
      </c>
      <c r="R908" s="154">
        <v>8.6562837231374978E-2</v>
      </c>
      <c r="S908" s="154">
        <v>0.1775350415067074</v>
      </c>
      <c r="T908" s="154">
        <v>0.26641859823490205</v>
      </c>
    </row>
    <row r="909" spans="1:25" ht="15" thickBot="1" x14ac:dyDescent="0.35">
      <c r="A909" s="288"/>
      <c r="B909" s="155" t="s">
        <v>773</v>
      </c>
      <c r="C909" s="156" t="s">
        <v>833</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833</v>
      </c>
      <c r="R909" s="159">
        <v>8.772319697978484E-2</v>
      </c>
      <c r="S909" s="159">
        <v>0.17955166672463349</v>
      </c>
      <c r="T909" s="159">
        <v>0.26943553358076772</v>
      </c>
    </row>
    <row r="910" spans="1:25" ht="15" thickBot="1" x14ac:dyDescent="0.35">
      <c r="A910" s="160"/>
      <c r="B910" s="160"/>
      <c r="C910" s="161"/>
      <c r="D910" s="289"/>
      <c r="E910" s="289"/>
      <c r="F910" s="289"/>
      <c r="G910" s="289"/>
      <c r="H910" s="289"/>
      <c r="I910"/>
      <c r="J910"/>
      <c r="K910"/>
      <c r="L910"/>
      <c r="M910"/>
      <c r="N910"/>
      <c r="Q910" s="162"/>
      <c r="R910" s="163"/>
      <c r="S910" s="163"/>
      <c r="T910" s="163"/>
    </row>
    <row r="911" spans="1:25" x14ac:dyDescent="0.3">
      <c r="A911" s="290" t="s">
        <v>834</v>
      </c>
      <c r="B911" s="144"/>
      <c r="C911" s="164" t="s">
        <v>716</v>
      </c>
      <c r="D911" s="146">
        <v>0</v>
      </c>
      <c r="E911" s="146">
        <v>0</v>
      </c>
      <c r="F911" s="146">
        <v>0</v>
      </c>
      <c r="G911" s="146">
        <v>0</v>
      </c>
      <c r="H911" s="146">
        <v>0</v>
      </c>
      <c r="I911" s="146">
        <v>0</v>
      </c>
      <c r="J911" s="146">
        <v>0</v>
      </c>
      <c r="K911" s="146">
        <v>0</v>
      </c>
      <c r="L911" s="146">
        <v>0</v>
      </c>
      <c r="M911" s="146">
        <v>0</v>
      </c>
      <c r="N911" s="146">
        <v>0</v>
      </c>
      <c r="Q911" s="164" t="s">
        <v>716</v>
      </c>
      <c r="R911" s="149">
        <v>0</v>
      </c>
      <c r="S911" s="149">
        <v>0</v>
      </c>
      <c r="T911" s="149">
        <v>0</v>
      </c>
    </row>
    <row r="912" spans="1:25" x14ac:dyDescent="0.3">
      <c r="A912" s="291"/>
      <c r="B912" s="144"/>
      <c r="C912" s="164" t="s">
        <v>717</v>
      </c>
      <c r="D912" s="146">
        <v>0</v>
      </c>
      <c r="E912" s="146">
        <v>0</v>
      </c>
      <c r="F912" s="146">
        <v>0</v>
      </c>
      <c r="G912" s="146">
        <v>0</v>
      </c>
      <c r="H912" s="146">
        <v>0</v>
      </c>
      <c r="I912" s="146">
        <v>0</v>
      </c>
      <c r="J912" s="146">
        <v>0</v>
      </c>
      <c r="K912" s="146">
        <v>0</v>
      </c>
      <c r="L912" s="146">
        <v>0</v>
      </c>
      <c r="M912" s="146">
        <v>0</v>
      </c>
      <c r="N912" s="146">
        <v>0</v>
      </c>
      <c r="Q912" s="164" t="s">
        <v>717</v>
      </c>
      <c r="R912" s="149">
        <v>0</v>
      </c>
      <c r="S912" s="149">
        <v>0</v>
      </c>
      <c r="T912" s="149">
        <v>0</v>
      </c>
    </row>
    <row r="913" spans="1:20" x14ac:dyDescent="0.3">
      <c r="A913" s="291"/>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291"/>
      <c r="B914" s="144"/>
      <c r="C914" s="164" t="s">
        <v>718</v>
      </c>
      <c r="D914" s="146">
        <v>0</v>
      </c>
      <c r="E914" s="146">
        <v>0</v>
      </c>
      <c r="F914" s="146">
        <v>0</v>
      </c>
      <c r="G914" s="146">
        <v>0</v>
      </c>
      <c r="H914" s="146">
        <v>0</v>
      </c>
      <c r="I914" s="146">
        <v>0</v>
      </c>
      <c r="J914" s="146">
        <v>0</v>
      </c>
      <c r="K914" s="146">
        <v>0</v>
      </c>
      <c r="L914" s="146">
        <v>0</v>
      </c>
      <c r="M914" s="146">
        <v>0</v>
      </c>
      <c r="N914" s="146">
        <v>0</v>
      </c>
      <c r="Q914" s="164" t="s">
        <v>718</v>
      </c>
      <c r="R914" s="149">
        <v>0</v>
      </c>
      <c r="S914" s="149">
        <v>0</v>
      </c>
      <c r="T914" s="149">
        <v>0</v>
      </c>
    </row>
    <row r="915" spans="1:20" x14ac:dyDescent="0.3">
      <c r="A915" s="291"/>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291"/>
      <c r="B916" s="144" t="s">
        <v>777</v>
      </c>
      <c r="C916" s="164" t="s">
        <v>719</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719</v>
      </c>
      <c r="R916" s="149">
        <v>3.6999999999999998E-2</v>
      </c>
      <c r="S916" s="149">
        <v>7.5999999999999998E-2</v>
      </c>
      <c r="T916" s="149">
        <v>0.115</v>
      </c>
    </row>
    <row r="917" spans="1:20" x14ac:dyDescent="0.3">
      <c r="A917" s="291"/>
      <c r="B917" s="144" t="s">
        <v>777</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291"/>
      <c r="B918" s="144" t="s">
        <v>777</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291"/>
      <c r="B919" s="144" t="s">
        <v>777</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291"/>
      <c r="B920" s="144" t="s">
        <v>777</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291"/>
      <c r="B921" s="144" t="s">
        <v>777</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291"/>
      <c r="B922" s="144" t="s">
        <v>777</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291"/>
      <c r="B923" s="144" t="s">
        <v>777</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291"/>
      <c r="B924" s="144" t="s">
        <v>777</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291"/>
      <c r="B925" s="144" t="s">
        <v>777</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291"/>
      <c r="B926" s="144" t="s">
        <v>777</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291"/>
      <c r="B927" s="144" t="s">
        <v>777</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291"/>
      <c r="B928" s="144" t="s">
        <v>777</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291"/>
      <c r="B929" s="144" t="s">
        <v>777</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292"/>
      <c r="B930" s="144" t="s">
        <v>777</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777</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777</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777</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777</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777</v>
      </c>
      <c r="C935" s="150" t="s">
        <v>832</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832</v>
      </c>
      <c r="R935" s="154">
        <v>0.373</v>
      </c>
      <c r="S935" s="154">
        <v>0.76500000000000001</v>
      </c>
      <c r="T935" s="154">
        <v>1.1479999999999999</v>
      </c>
    </row>
    <row r="936" spans="1:21" ht="15" thickBot="1" x14ac:dyDescent="0.35">
      <c r="B936"/>
      <c r="C936" s="156" t="s">
        <v>833</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833</v>
      </c>
      <c r="R936" s="159">
        <v>0.40600000000000003</v>
      </c>
      <c r="S936" s="159">
        <v>0.83099999999999996</v>
      </c>
      <c r="T936" s="159">
        <v>1.2470000000000001</v>
      </c>
    </row>
    <row r="938" spans="1:21" x14ac:dyDescent="0.3">
      <c r="C938" t="s">
        <v>835</v>
      </c>
    </row>
    <row r="940" spans="1:21" ht="27.6" x14ac:dyDescent="0.3">
      <c r="A940" s="178" t="s">
        <v>836</v>
      </c>
      <c r="B940" s="169">
        <v>150</v>
      </c>
      <c r="C940" s="169">
        <v>300</v>
      </c>
      <c r="D940" s="169">
        <v>600</v>
      </c>
      <c r="E940" s="169">
        <v>900</v>
      </c>
      <c r="F940" s="169">
        <v>1500</v>
      </c>
      <c r="G940"/>
      <c r="H940" s="177" t="s">
        <v>837</v>
      </c>
      <c r="I940" s="175">
        <v>150</v>
      </c>
      <c r="J940" s="175">
        <v>300</v>
      </c>
      <c r="K940" s="175">
        <v>600</v>
      </c>
      <c r="L940" s="175">
        <v>900</v>
      </c>
      <c r="M940" s="175">
        <v>1500</v>
      </c>
      <c r="N940"/>
      <c r="O940" s="177" t="s">
        <v>838</v>
      </c>
      <c r="P940" s="175">
        <v>150</v>
      </c>
      <c r="Q940" s="175">
        <v>300</v>
      </c>
      <c r="R940" s="175">
        <v>600</v>
      </c>
      <c r="S940" s="175">
        <v>900</v>
      </c>
      <c r="T940" s="175">
        <v>1500</v>
      </c>
      <c r="U940" s="169">
        <v>2500</v>
      </c>
    </row>
    <row r="941" spans="1:21" x14ac:dyDescent="0.3">
      <c r="A941" s="164" t="s">
        <v>716</v>
      </c>
      <c r="B941" s="175">
        <v>0.44</v>
      </c>
      <c r="C941" s="175">
        <v>0.44</v>
      </c>
      <c r="D941" s="175">
        <v>0.44</v>
      </c>
      <c r="E941" s="175">
        <v>0.44</v>
      </c>
      <c r="F941" s="175">
        <v>0.44</v>
      </c>
      <c r="G941"/>
      <c r="H941" s="164" t="s">
        <v>716</v>
      </c>
      <c r="I941" s="175">
        <v>0.42</v>
      </c>
      <c r="J941" s="175">
        <v>0.42</v>
      </c>
      <c r="K941" s="175">
        <v>0.42</v>
      </c>
      <c r="L941" s="175">
        <v>0.42</v>
      </c>
      <c r="M941" s="175">
        <v>0.42</v>
      </c>
      <c r="N941"/>
      <c r="O941" s="164" t="s">
        <v>716</v>
      </c>
      <c r="P941" s="175">
        <v>0.31</v>
      </c>
      <c r="Q941" s="175">
        <v>0.31</v>
      </c>
      <c r="R941" s="175">
        <v>0.31</v>
      </c>
      <c r="S941" s="175">
        <v>0.31</v>
      </c>
      <c r="T941" s="175">
        <v>0.31</v>
      </c>
      <c r="U941" s="175">
        <v>0.31</v>
      </c>
    </row>
    <row r="942" spans="1:21" x14ac:dyDescent="0.3">
      <c r="A942" s="164" t="s">
        <v>717</v>
      </c>
      <c r="B942" s="175">
        <v>0.44</v>
      </c>
      <c r="C942" s="175">
        <v>0.49</v>
      </c>
      <c r="D942" s="175">
        <v>0.49</v>
      </c>
      <c r="E942" s="175">
        <v>0.49</v>
      </c>
      <c r="F942" s="175">
        <v>0.49</v>
      </c>
      <c r="G942"/>
      <c r="H942" s="164" t="s">
        <v>717</v>
      </c>
      <c r="I942" s="175">
        <v>0.42</v>
      </c>
      <c r="J942" s="175">
        <v>0.47</v>
      </c>
      <c r="K942" s="175">
        <v>0.47</v>
      </c>
      <c r="L942" s="175">
        <v>0.47</v>
      </c>
      <c r="M942" s="175">
        <v>0.47</v>
      </c>
      <c r="N942"/>
      <c r="O942" s="164" t="s">
        <v>717</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718</v>
      </c>
      <c r="B944" s="175">
        <v>0.47</v>
      </c>
      <c r="C944" s="175">
        <v>0.64</v>
      </c>
      <c r="D944" s="175">
        <v>0.64</v>
      </c>
      <c r="E944" s="175">
        <v>0.64</v>
      </c>
      <c r="F944" s="175">
        <v>0.64</v>
      </c>
      <c r="G944"/>
      <c r="H944" s="164" t="s">
        <v>718</v>
      </c>
      <c r="I944" s="175">
        <v>0.45</v>
      </c>
      <c r="J944" s="175">
        <v>0.62</v>
      </c>
      <c r="K944" s="175">
        <v>0.62</v>
      </c>
      <c r="L944" s="175">
        <v>0.62</v>
      </c>
      <c r="M944" s="175">
        <v>0.62</v>
      </c>
      <c r="N944"/>
      <c r="O944" s="164" t="s">
        <v>718</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719</v>
      </c>
      <c r="B946" s="175">
        <v>0.54</v>
      </c>
      <c r="C946" s="175">
        <v>1.03</v>
      </c>
      <c r="D946" s="175">
        <v>1.06</v>
      </c>
      <c r="E946" s="175">
        <v>1.23</v>
      </c>
      <c r="F946" s="175">
        <v>1.26</v>
      </c>
      <c r="G946"/>
      <c r="H946" s="164" t="s">
        <v>719</v>
      </c>
      <c r="I946" s="175">
        <v>0.51</v>
      </c>
      <c r="J946" s="175">
        <v>1</v>
      </c>
      <c r="K946" s="175">
        <v>1.03</v>
      </c>
      <c r="L946" s="175">
        <v>1.21</v>
      </c>
      <c r="M946" s="175">
        <v>1.24</v>
      </c>
      <c r="N946"/>
      <c r="O946" s="164" t="s">
        <v>719</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839</v>
      </c>
      <c r="B966" s="171" t="s">
        <v>840</v>
      </c>
      <c r="C966" s="171" t="s">
        <v>841</v>
      </c>
      <c r="D966" s="171" t="s">
        <v>842</v>
      </c>
      <c r="E966" s="171" t="s">
        <v>843</v>
      </c>
      <c r="F966" s="171" t="s">
        <v>844</v>
      </c>
      <c r="G966"/>
      <c r="H966" s="174" t="s">
        <v>845</v>
      </c>
      <c r="I966" s="171" t="s">
        <v>840</v>
      </c>
      <c r="J966" s="171" t="s">
        <v>841</v>
      </c>
      <c r="K966" s="171" t="s">
        <v>842</v>
      </c>
      <c r="L966" s="171" t="s">
        <v>843</v>
      </c>
      <c r="M966" s="171" t="s">
        <v>844</v>
      </c>
      <c r="N966"/>
    </row>
    <row r="967" spans="1:21" x14ac:dyDescent="0.3">
      <c r="A967" s="169" t="s">
        <v>846</v>
      </c>
      <c r="B967" s="169">
        <v>0.55000000000000004</v>
      </c>
      <c r="C967" s="169">
        <v>0.74</v>
      </c>
      <c r="D967" s="169">
        <v>0.81</v>
      </c>
      <c r="E967" s="169">
        <v>0.9</v>
      </c>
      <c r="F967" s="169">
        <v>0.97</v>
      </c>
      <c r="G967"/>
      <c r="H967" s="169" t="s">
        <v>846</v>
      </c>
      <c r="I967" s="169">
        <v>0.35</v>
      </c>
      <c r="J967" s="169">
        <v>0.54</v>
      </c>
      <c r="K967" s="169">
        <v>0.61</v>
      </c>
      <c r="L967" s="169">
        <v>0.7</v>
      </c>
      <c r="M967" s="169">
        <v>0.77</v>
      </c>
      <c r="N967"/>
    </row>
    <row r="968" spans="1:21" x14ac:dyDescent="0.3">
      <c r="A968" s="169" t="s">
        <v>847</v>
      </c>
      <c r="B968" s="169">
        <v>1.24</v>
      </c>
      <c r="C968" s="169">
        <v>1.76</v>
      </c>
      <c r="D968" s="169">
        <v>2.15</v>
      </c>
      <c r="E968" s="169">
        <v>2.44</v>
      </c>
      <c r="F968" s="169">
        <v>2.37</v>
      </c>
      <c r="G968"/>
      <c r="H968" s="169" t="s">
        <v>847</v>
      </c>
      <c r="I968" s="169">
        <v>0.94</v>
      </c>
      <c r="J968" s="169">
        <v>1.36</v>
      </c>
      <c r="K968" s="169">
        <v>1.85</v>
      </c>
      <c r="L968" s="169">
        <v>2.14</v>
      </c>
      <c r="M968" s="169">
        <v>2.0699999999999998</v>
      </c>
      <c r="N968"/>
    </row>
    <row r="969" spans="1:21" x14ac:dyDescent="0.3">
      <c r="A969" s="169" t="s">
        <v>848</v>
      </c>
      <c r="B969" s="169">
        <v>1.88</v>
      </c>
      <c r="C969" s="169">
        <v>2.82</v>
      </c>
      <c r="D969" s="169">
        <v>3.41</v>
      </c>
      <c r="E969" s="169">
        <v>3.89</v>
      </c>
      <c r="F969" s="169">
        <v>4.0199999999999996</v>
      </c>
      <c r="G969"/>
      <c r="H969" s="169" t="s">
        <v>848</v>
      </c>
      <c r="I969" s="169">
        <v>1.48</v>
      </c>
      <c r="J969" s="169">
        <v>2.42</v>
      </c>
      <c r="K969" s="169">
        <v>3.01</v>
      </c>
      <c r="L969" s="169">
        <v>3.49</v>
      </c>
      <c r="M969" s="169">
        <v>3.62</v>
      </c>
      <c r="N969"/>
    </row>
    <row r="970" spans="1:21" x14ac:dyDescent="0.3">
      <c r="A970" s="169" t="s">
        <v>849</v>
      </c>
      <c r="B970" s="169">
        <v>2.98</v>
      </c>
      <c r="C970" s="169">
        <v>3.99</v>
      </c>
      <c r="D970" s="169">
        <v>4.83</v>
      </c>
      <c r="E970" s="169">
        <v>5.44</v>
      </c>
      <c r="F970" s="169">
        <v>5.7</v>
      </c>
      <c r="G970"/>
      <c r="H970" s="169" t="s">
        <v>849</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850</v>
      </c>
      <c r="B1005" s="171" t="s">
        <v>851</v>
      </c>
      <c r="C1005" s="171" t="s">
        <v>852</v>
      </c>
      <c r="D1005" s="171" t="s">
        <v>853</v>
      </c>
      <c r="E1005" s="171" t="s">
        <v>854</v>
      </c>
      <c r="F1005" s="171" t="s">
        <v>855</v>
      </c>
      <c r="G1005" s="171" t="s">
        <v>856</v>
      </c>
      <c r="H1005" s="171" t="s">
        <v>857</v>
      </c>
      <c r="I1005" s="171" t="s">
        <v>858</v>
      </c>
      <c r="J1005"/>
      <c r="K1005"/>
      <c r="L1005"/>
      <c r="M1005"/>
      <c r="N1005"/>
    </row>
    <row r="1006" spans="1:14" ht="36" x14ac:dyDescent="0.3">
      <c r="A1006" s="172" t="s">
        <v>859</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860</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861</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862</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863</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864</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865</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866</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867</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868</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869</v>
      </c>
      <c r="B1016" s="169">
        <v>2</v>
      </c>
      <c r="C1016" s="169">
        <v>4</v>
      </c>
      <c r="D1016" s="169">
        <v>5.3</v>
      </c>
      <c r="E1016" s="169">
        <v>6</v>
      </c>
      <c r="F1016" s="169">
        <v>6.8</v>
      </c>
      <c r="G1016" s="169">
        <v>7.6</v>
      </c>
      <c r="H1016" s="169">
        <v>8.6</v>
      </c>
      <c r="I1016" s="169">
        <v>9.4</v>
      </c>
      <c r="J1016"/>
      <c r="K1016"/>
      <c r="L1016"/>
      <c r="M1016"/>
      <c r="N1016"/>
    </row>
    <row r="1017" spans="1:14" ht="24" x14ac:dyDescent="0.3">
      <c r="A1017" s="172" t="s">
        <v>870</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871</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872</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873</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874</v>
      </c>
      <c r="B1022" s="172" t="s">
        <v>875</v>
      </c>
      <c r="C1022" s="172" t="s">
        <v>876</v>
      </c>
      <c r="D1022" s="172" t="s">
        <v>877</v>
      </c>
      <c r="E1022" s="172" t="s">
        <v>878</v>
      </c>
      <c r="F1022" s="172" t="s">
        <v>879</v>
      </c>
      <c r="G1022"/>
      <c r="H1022" s="173" t="s">
        <v>880</v>
      </c>
      <c r="I1022" s="172" t="s">
        <v>875</v>
      </c>
      <c r="J1022" s="172" t="s">
        <v>876</v>
      </c>
      <c r="K1022" s="172" t="s">
        <v>877</v>
      </c>
      <c r="L1022" s="172" t="s">
        <v>878</v>
      </c>
      <c r="M1022" s="172" t="s">
        <v>879</v>
      </c>
      <c r="N1022"/>
    </row>
    <row r="1023" spans="1:14" x14ac:dyDescent="0.3">
      <c r="A1023" s="171" t="s">
        <v>881</v>
      </c>
      <c r="B1023" s="170">
        <v>0.24</v>
      </c>
      <c r="C1023" s="170">
        <v>0.3</v>
      </c>
      <c r="D1023" s="170">
        <v>0.42</v>
      </c>
      <c r="E1023" s="170">
        <v>0.6</v>
      </c>
      <c r="F1023" s="170">
        <v>0.9</v>
      </c>
      <c r="G1023"/>
      <c r="H1023" s="171" t="s">
        <v>881</v>
      </c>
      <c r="I1023" s="170">
        <v>0.24</v>
      </c>
      <c r="J1023" s="170">
        <v>0.36</v>
      </c>
      <c r="K1023" s="170">
        <v>0.48</v>
      </c>
      <c r="L1023" s="170">
        <v>0.78</v>
      </c>
      <c r="M1023" s="169">
        <v>1.02</v>
      </c>
      <c r="N1023"/>
    </row>
    <row r="1024" spans="1:14" x14ac:dyDescent="0.3">
      <c r="A1024" s="171" t="s">
        <v>882</v>
      </c>
      <c r="B1024" s="170">
        <v>0.74</v>
      </c>
      <c r="C1024" s="170">
        <v>0.92500000000000004</v>
      </c>
      <c r="D1024" s="170">
        <v>1.2949999999999999</v>
      </c>
      <c r="E1024" s="170">
        <v>1.85</v>
      </c>
      <c r="F1024" s="170">
        <v>2.7749999999999999</v>
      </c>
      <c r="G1024"/>
      <c r="H1024" s="171" t="s">
        <v>882</v>
      </c>
      <c r="I1024" s="170">
        <v>0.74</v>
      </c>
      <c r="J1024" s="170">
        <v>1.1100000000000001</v>
      </c>
      <c r="K1024" s="170">
        <v>1.48</v>
      </c>
      <c r="L1024" s="170">
        <v>2.4049999999999998</v>
      </c>
      <c r="M1024" s="169">
        <v>3.145</v>
      </c>
      <c r="N1024"/>
    </row>
    <row r="1025" spans="1:14" x14ac:dyDescent="0.3">
      <c r="A1025" s="171" t="s">
        <v>883</v>
      </c>
      <c r="B1025" s="170">
        <v>1.22</v>
      </c>
      <c r="C1025" s="170">
        <v>1.5249999999999999</v>
      </c>
      <c r="D1025" s="170">
        <v>2.1349999999999998</v>
      </c>
      <c r="E1025" s="170">
        <v>3.05</v>
      </c>
      <c r="F1025" s="170">
        <v>4.5750000000000002</v>
      </c>
      <c r="G1025"/>
      <c r="H1025" s="171" t="s">
        <v>883</v>
      </c>
      <c r="I1025" s="170">
        <v>1.22</v>
      </c>
      <c r="J1025" s="170">
        <v>1.83</v>
      </c>
      <c r="K1025" s="170">
        <v>2.44</v>
      </c>
      <c r="L1025" s="170">
        <v>3.9649999999999999</v>
      </c>
      <c r="M1025" s="169">
        <v>5.1849999999999996</v>
      </c>
      <c r="N1025"/>
    </row>
    <row r="1026" spans="1:14" x14ac:dyDescent="0.3">
      <c r="A1026" s="171" t="s">
        <v>884</v>
      </c>
      <c r="B1026" s="170">
        <v>1.7</v>
      </c>
      <c r="C1026" s="170">
        <v>2.125</v>
      </c>
      <c r="D1026" s="170">
        <v>2.9750000000000001</v>
      </c>
      <c r="E1026" s="170">
        <v>4.25</v>
      </c>
      <c r="F1026" s="170">
        <v>6.375</v>
      </c>
      <c r="G1026"/>
      <c r="H1026" s="171" t="s">
        <v>884</v>
      </c>
      <c r="I1026" s="170">
        <v>1.7</v>
      </c>
      <c r="J1026" s="170">
        <v>2.5499999999999998</v>
      </c>
      <c r="K1026" s="170">
        <v>3.4</v>
      </c>
      <c r="L1026" s="170">
        <v>5.5250000000000004</v>
      </c>
      <c r="M1026" s="169">
        <v>7.2249999999999996</v>
      </c>
      <c r="N1026"/>
    </row>
    <row r="1027" spans="1:14" x14ac:dyDescent="0.3">
      <c r="A1027" s="171" t="s">
        <v>885</v>
      </c>
      <c r="B1027" s="170">
        <v>2.1800000000000002</v>
      </c>
      <c r="C1027" s="170">
        <v>2.7250000000000001</v>
      </c>
      <c r="D1027" s="170">
        <v>3.8149999999999999</v>
      </c>
      <c r="E1027" s="170">
        <v>5.45</v>
      </c>
      <c r="F1027" s="170">
        <v>8.1750000000000007</v>
      </c>
      <c r="G1027"/>
      <c r="H1027" s="171" t="s">
        <v>885</v>
      </c>
      <c r="I1027" s="170">
        <v>2.1800000000000002</v>
      </c>
      <c r="J1027" s="170">
        <v>3.27</v>
      </c>
      <c r="K1027" s="170">
        <v>4.3600000000000003</v>
      </c>
      <c r="L1027" s="170">
        <v>7.085</v>
      </c>
      <c r="M1027" s="169">
        <v>9.2650000000000006</v>
      </c>
      <c r="N1027"/>
    </row>
    <row r="1028" spans="1:14" x14ac:dyDescent="0.3">
      <c r="A1028" s="171" t="s">
        <v>886</v>
      </c>
      <c r="B1028" s="170">
        <v>2.66</v>
      </c>
      <c r="C1028" s="170">
        <v>3.3250000000000002</v>
      </c>
      <c r="D1028" s="170">
        <v>4.6550000000000002</v>
      </c>
      <c r="E1028" s="170">
        <v>6.65</v>
      </c>
      <c r="F1028" s="170">
        <v>9.9749999999999996</v>
      </c>
      <c r="G1028"/>
      <c r="H1028" s="171" t="s">
        <v>886</v>
      </c>
      <c r="I1028" s="170">
        <v>2.66</v>
      </c>
      <c r="J1028" s="170">
        <v>3.99</v>
      </c>
      <c r="K1028" s="170">
        <v>5.32</v>
      </c>
      <c r="L1028" s="170">
        <v>8.6449999999999996</v>
      </c>
      <c r="M1028" s="169">
        <v>11.305</v>
      </c>
      <c r="N1028"/>
    </row>
    <row r="1029" spans="1:14" x14ac:dyDescent="0.3">
      <c r="A1029" s="171" t="s">
        <v>887</v>
      </c>
      <c r="B1029" s="170">
        <v>3.14</v>
      </c>
      <c r="C1029" s="170">
        <v>3.9249999999999998</v>
      </c>
      <c r="D1029" s="170">
        <v>5.4950000000000001</v>
      </c>
      <c r="E1029" s="170">
        <v>7.85</v>
      </c>
      <c r="F1029" s="170">
        <v>11.775</v>
      </c>
      <c r="G1029"/>
      <c r="H1029" s="171" t="s">
        <v>887</v>
      </c>
      <c r="I1029" s="170">
        <v>3.14</v>
      </c>
      <c r="J1029" s="170">
        <v>4.71</v>
      </c>
      <c r="K1029" s="170">
        <v>6.28</v>
      </c>
      <c r="L1029" s="170">
        <v>10.205</v>
      </c>
      <c r="M1029" s="169">
        <v>13.345000000000001</v>
      </c>
      <c r="N1029"/>
    </row>
    <row r="1030" spans="1:14" x14ac:dyDescent="0.3">
      <c r="A1030" s="171" t="s">
        <v>888</v>
      </c>
      <c r="B1030" s="170">
        <v>3.62</v>
      </c>
      <c r="C1030" s="170">
        <v>4.5250000000000004</v>
      </c>
      <c r="D1030" s="170">
        <v>6.335</v>
      </c>
      <c r="E1030" s="170">
        <v>9.0500000000000007</v>
      </c>
      <c r="F1030" s="170">
        <v>13.574999999999999</v>
      </c>
      <c r="G1030"/>
      <c r="H1030" s="171" t="s">
        <v>888</v>
      </c>
      <c r="I1030" s="170">
        <v>3.62</v>
      </c>
      <c r="J1030" s="170">
        <v>5.43</v>
      </c>
      <c r="K1030" s="170">
        <v>7.24</v>
      </c>
      <c r="L1030" s="170">
        <v>11.765000000000001</v>
      </c>
      <c r="M1030" s="169">
        <v>15.385</v>
      </c>
      <c r="N1030"/>
    </row>
    <row r="1031" spans="1:14" x14ac:dyDescent="0.3">
      <c r="A1031" s="171" t="s">
        <v>889</v>
      </c>
      <c r="B1031" s="170">
        <v>4.0999999999999996</v>
      </c>
      <c r="C1031" s="170">
        <v>5.125</v>
      </c>
      <c r="D1031" s="170">
        <v>7.1749999999999998</v>
      </c>
      <c r="E1031" s="170">
        <v>10.25</v>
      </c>
      <c r="F1031" s="170">
        <v>15.375</v>
      </c>
      <c r="G1031"/>
      <c r="H1031" s="171" t="s">
        <v>890</v>
      </c>
      <c r="I1031" s="170">
        <v>4.0999999999999996</v>
      </c>
      <c r="J1031" s="170">
        <v>6.15</v>
      </c>
      <c r="K1031" s="170">
        <v>8.1999999999999993</v>
      </c>
      <c r="L1031" s="170">
        <v>13.324999999999999</v>
      </c>
      <c r="M1031" s="169">
        <v>17.425000000000001</v>
      </c>
      <c r="N1031"/>
    </row>
    <row r="1032" spans="1:14" x14ac:dyDescent="0.3">
      <c r="A1032" s="171" t="s">
        <v>891</v>
      </c>
      <c r="B1032" s="170">
        <v>4.58</v>
      </c>
      <c r="C1032" s="170">
        <v>5.7249999999999996</v>
      </c>
      <c r="D1032" s="170">
        <v>8.0150000000000006</v>
      </c>
      <c r="E1032" s="170">
        <v>11.45</v>
      </c>
      <c r="F1032" s="170">
        <v>17.175000000000001</v>
      </c>
      <c r="G1032"/>
      <c r="H1032" s="171" t="s">
        <v>891</v>
      </c>
      <c r="I1032" s="170">
        <v>4.58</v>
      </c>
      <c r="J1032" s="170">
        <v>6.87</v>
      </c>
      <c r="K1032" s="170">
        <v>9.16</v>
      </c>
      <c r="L1032" s="170">
        <v>14.885</v>
      </c>
      <c r="M1032" s="169">
        <v>19.465</v>
      </c>
      <c r="N1032"/>
    </row>
    <row r="1033" spans="1:14" x14ac:dyDescent="0.3">
      <c r="A1033" s="171" t="s">
        <v>892</v>
      </c>
      <c r="B1033" s="170">
        <v>5.22</v>
      </c>
      <c r="C1033" s="170">
        <v>6.5250000000000004</v>
      </c>
      <c r="D1033" s="170">
        <v>9.1349999999999998</v>
      </c>
      <c r="E1033" s="170">
        <v>13.05</v>
      </c>
      <c r="F1033" s="170">
        <v>19.574999999999999</v>
      </c>
      <c r="G1033"/>
      <c r="H1033" s="171" t="s">
        <v>892</v>
      </c>
      <c r="I1033" s="170">
        <v>5.22</v>
      </c>
      <c r="J1033" s="170">
        <v>7.83</v>
      </c>
      <c r="K1033" s="170">
        <v>10.44</v>
      </c>
      <c r="L1033" s="170">
        <v>16.965</v>
      </c>
      <c r="M1033" s="169">
        <v>22.184999999999999</v>
      </c>
      <c r="N1033"/>
    </row>
    <row r="1034" spans="1:14" x14ac:dyDescent="0.3">
      <c r="A1034" s="171" t="s">
        <v>893</v>
      </c>
      <c r="B1034" s="170">
        <v>6.02</v>
      </c>
      <c r="C1034" s="170">
        <v>7.5250000000000004</v>
      </c>
      <c r="D1034" s="170">
        <v>10.535</v>
      </c>
      <c r="E1034" s="170">
        <v>15.05</v>
      </c>
      <c r="F1034" s="170">
        <v>22.574999999999999</v>
      </c>
      <c r="G1034"/>
      <c r="H1034" s="171" t="s">
        <v>893</v>
      </c>
      <c r="I1034" s="170">
        <v>6.02</v>
      </c>
      <c r="J1034" s="170">
        <v>9.0299999999999994</v>
      </c>
      <c r="K1034" s="170">
        <v>12.04</v>
      </c>
      <c r="L1034" s="170">
        <v>19.565000000000001</v>
      </c>
      <c r="M1034" s="169">
        <v>25.585000000000001</v>
      </c>
      <c r="N1034"/>
    </row>
    <row r="1035" spans="1:14" x14ac:dyDescent="0.3">
      <c r="A1035" s="171" t="s">
        <v>894</v>
      </c>
      <c r="B1035" s="170">
        <v>6.82</v>
      </c>
      <c r="C1035" s="170">
        <v>8.5250000000000004</v>
      </c>
      <c r="D1035" s="170">
        <v>11.935</v>
      </c>
      <c r="E1035" s="170">
        <v>17.05</v>
      </c>
      <c r="F1035" s="170">
        <v>25.574999999999999</v>
      </c>
      <c r="G1035"/>
      <c r="H1035" s="171" t="s">
        <v>894</v>
      </c>
      <c r="I1035" s="170">
        <v>6.82</v>
      </c>
      <c r="J1035" s="170">
        <v>10.23</v>
      </c>
      <c r="K1035" s="170">
        <v>13.64</v>
      </c>
      <c r="L1035" s="170">
        <v>22.164999999999999</v>
      </c>
      <c r="M1035" s="169">
        <v>28.984999999999999</v>
      </c>
      <c r="N1035"/>
    </row>
    <row r="1036" spans="1:14" x14ac:dyDescent="0.3">
      <c r="A1036" s="171" t="s">
        <v>895</v>
      </c>
      <c r="B1036" s="170">
        <v>7.62</v>
      </c>
      <c r="C1036" s="170">
        <v>9.5250000000000004</v>
      </c>
      <c r="D1036" s="170">
        <v>13.335000000000001</v>
      </c>
      <c r="E1036" s="170">
        <v>19.05</v>
      </c>
      <c r="F1036" s="170">
        <v>28.574999999999999</v>
      </c>
      <c r="G1036"/>
      <c r="H1036" s="171" t="s">
        <v>895</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Props1.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3.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2022-05-11T14:22:57Z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